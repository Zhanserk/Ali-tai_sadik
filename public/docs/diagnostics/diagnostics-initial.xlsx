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75" windowHeight="7695" tabRatio="817" activeTab="4"/>
  </bookViews>
  <sheets>
    <sheet name="кіші топ" sheetId="10" r:id="rId1"/>
    <sheet name="ортаңғы топ" sheetId="11" r:id="rId2"/>
    <sheet name="ересек топ" sheetId="12" r:id="rId3"/>
    <sheet name="мектепалды тобы" sheetId="13" r:id="rId4"/>
    <sheet name="МДҰ әдіскерінің жинағы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<sst xmlns="http://schemas.openxmlformats.org/spreadsheetml/2006/main" count="274" uniqueCount="43">
  <si>
    <t>Мектепке дейінгі ұйым бойынша әдіскерінің жинағы</t>
  </si>
  <si>
    <t>МДҰ атауы__ЖШС "Аладин" бб________________________________________________________</t>
  </si>
  <si>
    <t>Әдіскерінің аты-жөні________Абдирова С_______________________</t>
  </si>
  <si>
    <t>Мекен-жайы_____Сарыағаш қаласы_________________________________</t>
  </si>
  <si>
    <t>Оқыту тілі________қазақ_____________________________________</t>
  </si>
  <si>
    <t>№</t>
  </si>
  <si>
    <t>Топтың атауы</t>
  </si>
  <si>
    <t>Тәрбиешінің аты-жөні</t>
  </si>
  <si>
    <t>Балалар саны</t>
  </si>
  <si>
    <t xml:space="preserve"> Физикалық қасиеттерді дамыту</t>
  </si>
  <si>
    <t xml:space="preserve">Коммуникативтік дағдыларды дамыту </t>
  </si>
  <si>
    <t xml:space="preserve"> Танымдық және зияткерлік дағдыларды дамыту </t>
  </si>
  <si>
    <t xml:space="preserve">Балалардың шығармашылық дағдыларын, зерттеу іс-әрекетін дамыту </t>
  </si>
  <si>
    <t>Әлеуметтік-эмоционалды дағдыларды қалыптастыру</t>
  </si>
  <si>
    <t>олардың ішінде  жоғары деңгей</t>
  </si>
  <si>
    <t>олардың ішінде орташа деңгей</t>
  </si>
  <si>
    <t>олардың ішінде   төмен деңгей</t>
  </si>
  <si>
    <t>Сөйлеуді дамыту</t>
  </si>
  <si>
    <t>Көркем әдебиет</t>
  </si>
  <si>
    <t>Сурет салу</t>
  </si>
  <si>
    <t>Мүсіндеу</t>
  </si>
  <si>
    <t>Жапсыру</t>
  </si>
  <si>
    <t>Құрастыру</t>
  </si>
  <si>
    <t>Музыка</t>
  </si>
  <si>
    <t>Балапан</t>
  </si>
  <si>
    <t>Барлығы</t>
  </si>
  <si>
    <t>%</t>
  </si>
  <si>
    <t>Оқыту тілі________________________________________________________</t>
  </si>
  <si>
    <t>Қазақ тілі</t>
  </si>
  <si>
    <t>Балбөбек</t>
  </si>
  <si>
    <t>Бүлдіршін</t>
  </si>
  <si>
    <t>Сауат ашу негіздері</t>
  </si>
  <si>
    <t>Қарлығаш</t>
  </si>
  <si>
    <t>Қосымша 2</t>
  </si>
  <si>
    <t>МДҰ атауы__ЖШС "Али-Тай" бб________________________________________________________</t>
  </si>
  <si>
    <t>Әдіскерінің аты-жөні________Жунисова С_______________________</t>
  </si>
  <si>
    <t xml:space="preserve">Жас ерекшелік топтары </t>
  </si>
  <si>
    <t xml:space="preserve">Балалар саны </t>
  </si>
  <si>
    <t>БАРЛЫҒЫ</t>
  </si>
  <si>
    <t>Кіші топ</t>
  </si>
  <si>
    <t>Ортаңғы топ</t>
  </si>
  <si>
    <t>Ересек топ</t>
  </si>
  <si>
    <t>МАД топ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</si>
</sst>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"/>
  </numFmts>
  <fonts count="29"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Times New Roman"/>
      <charset val="204"/>
    </font>
    <font>
      <sz val="12"/>
      <name val="Times New Roman"/>
      <charset val="204"/>
    </font>
    <font>
      <sz val="11"/>
      <name val="Calibri"/>
      <charset val="204"/>
      <scheme val="minor"/>
    </font>
    <font>
      <sz val="12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vertical="center" wrapText="1"/>
    </xf>
    <xf numFmtId="1" fontId="4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/>
    <xf numFmtId="0" fontId="1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/>
    <xf numFmtId="1" fontId="3" fillId="0" borderId="6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2" xfId="0" applyFont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3" fillId="0" borderId="6" xfId="0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H17"/>
  <sheetViews>
    <sheetView zoomScale="70" zoomScaleNormal="70" workbookViewId="0">
      <selection activeCell="D22" sqref="D22"/>
    </sheetView>
  </sheetViews>
  <sheetFormatPr defaultColWidth="9" defaultRowHeight="15"/>
  <cols>
    <col min="2" max="2" width="17.4285714285714" customWidth="1"/>
    <col min="3" max="3" width="20.7142857142857" customWidth="1"/>
    <col min="4" max="4" width="12.1428571428571" customWidth="1"/>
    <col min="5" max="5" width="12.4285714285714" customWidth="1"/>
    <col min="6" max="6" width="13.2857142857143" customWidth="1"/>
    <col min="7" max="12" width="12.2857142857143" customWidth="1"/>
    <col min="13" max="13" width="12.7142857142857" customWidth="1"/>
    <col min="14" max="14" width="12.8571428571429" customWidth="1"/>
    <col min="15" max="15" width="11.8571428571429" customWidth="1"/>
    <col min="16" max="28" width="13.2857142857143" customWidth="1"/>
    <col min="29" max="29" width="12.4285714285714" customWidth="1"/>
    <col min="30" max="30" width="13" customWidth="1"/>
    <col min="31" max="32" width="12.4285714285714" customWidth="1"/>
    <col min="33" max="33" width="12.2857142857143" customWidth="1"/>
    <col min="34" max="34" width="12.5714285714286" customWidth="1"/>
  </cols>
  <sheetData>
    <row r="2" ht="15.75" spans="1:34">
      <c r="B2" s="5" t="s">
        <v>0</v>
      </c>
      <c r="C2" s="6"/>
      <c r="E2" s="6"/>
      <c r="F2" s="6"/>
      <c r="I2" s="6" t="s">
        <v>1</v>
      </c>
      <c r="J2" s="6"/>
      <c r="K2" s="6"/>
      <c r="L2" s="6"/>
      <c r="M2" s="6"/>
      <c r="N2" s="7"/>
      <c r="O2" s="7"/>
      <c r="R2" s="1"/>
      <c r="S2" s="2"/>
      <c r="T2" s="2"/>
      <c r="U2" s="2"/>
      <c r="V2" s="2"/>
      <c r="W2" s="2"/>
    </row>
    <row r="3" ht="15.75" spans="1:34">
      <c r="A3" s="7"/>
      <c r="B3" s="8" t="s">
        <v>2</v>
      </c>
      <c r="C3" s="8"/>
      <c r="D3" s="8"/>
      <c r="E3" s="8"/>
      <c r="F3" s="8"/>
      <c r="G3" s="8"/>
      <c r="H3" s="6"/>
      <c r="I3" s="8" t="s">
        <v>3</v>
      </c>
      <c r="J3" s="8"/>
      <c r="K3" s="8"/>
      <c r="L3" s="8"/>
      <c r="M3" s="8"/>
      <c r="N3" s="8"/>
      <c r="O3" s="7"/>
      <c r="P3" s="7"/>
      <c r="Q3" s="7"/>
      <c r="R3" s="1"/>
      <c r="S3" s="2"/>
      <c r="T3" s="2"/>
      <c r="U3" s="2"/>
      <c r="V3" s="2"/>
      <c r="W3" s="2"/>
    </row>
    <row r="4" ht="15.75" spans="1:34">
      <c r="C4" s="9"/>
      <c r="E4" s="7"/>
      <c r="F4" s="7"/>
      <c r="I4" s="10" t="s">
        <v>4</v>
      </c>
      <c r="J4" s="10"/>
      <c r="K4" s="10"/>
      <c r="L4" s="10"/>
      <c r="M4" s="10"/>
      <c r="N4" s="10"/>
      <c r="O4" s="7"/>
      <c r="P4" s="7"/>
      <c r="Q4" s="7"/>
      <c r="R4" s="1"/>
      <c r="S4" s="2"/>
      <c r="T4" s="2"/>
      <c r="U4" s="2"/>
      <c r="V4" s="2"/>
      <c r="W4" s="2"/>
    </row>
    <row r="5" ht="15.75" spans="1:3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ht="15.75" spans="1:34">
      <c r="A6" s="7"/>
      <c r="B6" s="11"/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ht="15.75" customHeight="1" spans="1:34">
      <c r="A7" s="25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/>
      <c r="G7" s="13"/>
      <c r="H7" s="33" t="s">
        <v>10</v>
      </c>
      <c r="I7" s="34"/>
      <c r="J7" s="34"/>
      <c r="K7" s="34"/>
      <c r="L7" s="34"/>
      <c r="M7" s="35"/>
      <c r="N7" s="13" t="s">
        <v>11</v>
      </c>
      <c r="O7" s="13"/>
      <c r="P7" s="13"/>
      <c r="Q7" s="33" t="s">
        <v>12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5"/>
      <c r="AF7" s="13" t="s">
        <v>13</v>
      </c>
      <c r="AG7" s="13"/>
      <c r="AH7" s="13"/>
    </row>
    <row r="8" ht="15.75" customHeight="1" spans="1:34">
      <c r="A8" s="25"/>
      <c r="B8" s="13"/>
      <c r="C8" s="13"/>
      <c r="D8" s="13"/>
      <c r="E8" s="12" t="s">
        <v>14</v>
      </c>
      <c r="F8" s="12" t="s">
        <v>15</v>
      </c>
      <c r="G8" s="12" t="s">
        <v>16</v>
      </c>
      <c r="H8" s="13" t="s">
        <v>17</v>
      </c>
      <c r="I8" s="13"/>
      <c r="J8" s="13"/>
      <c r="K8" s="13" t="s">
        <v>18</v>
      </c>
      <c r="L8" s="13"/>
      <c r="M8" s="13"/>
      <c r="N8" s="12" t="s">
        <v>14</v>
      </c>
      <c r="O8" s="12" t="s">
        <v>15</v>
      </c>
      <c r="P8" s="12" t="s">
        <v>16</v>
      </c>
      <c r="Q8" s="13" t="s">
        <v>19</v>
      </c>
      <c r="R8" s="13"/>
      <c r="S8" s="13"/>
      <c r="T8" s="13" t="s">
        <v>20</v>
      </c>
      <c r="U8" s="13"/>
      <c r="V8" s="13"/>
      <c r="W8" s="13" t="s">
        <v>21</v>
      </c>
      <c r="X8" s="13"/>
      <c r="Y8" s="13"/>
      <c r="Z8" s="33" t="s">
        <v>22</v>
      </c>
      <c r="AA8" s="34"/>
      <c r="AB8" s="35"/>
      <c r="AC8" s="33" t="s">
        <v>23</v>
      </c>
      <c r="AD8" s="34"/>
      <c r="AE8" s="35"/>
      <c r="AF8" s="12" t="s">
        <v>14</v>
      </c>
      <c r="AG8" s="12" t="s">
        <v>15</v>
      </c>
      <c r="AH8" s="12" t="s">
        <v>16</v>
      </c>
    </row>
    <row r="9" ht="126.75" customHeight="1" spans="1:34">
      <c r="A9" s="25"/>
      <c r="B9" s="13"/>
      <c r="C9" s="13"/>
      <c r="D9" s="13"/>
      <c r="E9" s="16"/>
      <c r="F9" s="16"/>
      <c r="G9" s="16"/>
      <c r="H9" s="13" t="s">
        <v>14</v>
      </c>
      <c r="I9" s="13" t="s">
        <v>15</v>
      </c>
      <c r="J9" s="13" t="s">
        <v>16</v>
      </c>
      <c r="K9" s="13" t="s">
        <v>14</v>
      </c>
      <c r="L9" s="13" t="s">
        <v>15</v>
      </c>
      <c r="M9" s="13" t="s">
        <v>16</v>
      </c>
      <c r="N9" s="16"/>
      <c r="O9" s="16"/>
      <c r="P9" s="16"/>
      <c r="Q9" s="16" t="s">
        <v>14</v>
      </c>
      <c r="R9" s="16" t="s">
        <v>15</v>
      </c>
      <c r="S9" s="16" t="s">
        <v>16</v>
      </c>
      <c r="T9" s="16" t="s">
        <v>14</v>
      </c>
      <c r="U9" s="16" t="s">
        <v>15</v>
      </c>
      <c r="V9" s="16" t="s">
        <v>16</v>
      </c>
      <c r="W9" s="16" t="s">
        <v>14</v>
      </c>
      <c r="X9" s="16" t="s">
        <v>15</v>
      </c>
      <c r="Y9" s="16" t="s">
        <v>16</v>
      </c>
      <c r="Z9" s="13" t="s">
        <v>14</v>
      </c>
      <c r="AA9" s="13" t="s">
        <v>15</v>
      </c>
      <c r="AB9" s="13" t="s">
        <v>16</v>
      </c>
      <c r="AC9" s="13" t="s">
        <v>14</v>
      </c>
      <c r="AD9" s="13" t="s">
        <v>15</v>
      </c>
      <c r="AE9" s="13" t="s">
        <v>16</v>
      </c>
      <c r="AF9" s="16"/>
      <c r="AG9" s="16"/>
      <c r="AH9" s="16"/>
    </row>
    <row r="10" s="66" customFormat="1" ht="21" customHeight="1" spans="1:34">
      <c r="A10" s="66">
        <v>1</v>
      </c>
      <c r="B10" s="56" t="s">
        <v>24</v>
      </c>
      <c r="D10" s="25">
        <f ca="1">D10:AH1119</f>
        <v>0</v>
      </c>
      <c r="E10" s="67">
        <v>6</v>
      </c>
      <c r="F10" s="67">
        <v>11</v>
      </c>
      <c r="G10" s="67">
        <v>3</v>
      </c>
      <c r="H10" s="68">
        <v>6</v>
      </c>
      <c r="I10" s="68">
        <v>11</v>
      </c>
      <c r="J10" s="68">
        <v>3</v>
      </c>
      <c r="K10" s="68">
        <v>6</v>
      </c>
      <c r="L10" s="68">
        <v>11</v>
      </c>
      <c r="M10" s="68">
        <v>3</v>
      </c>
      <c r="N10" s="68">
        <v>6</v>
      </c>
      <c r="O10" s="68">
        <v>11</v>
      </c>
      <c r="P10" s="68">
        <v>3</v>
      </c>
      <c r="Q10" s="68">
        <v>6</v>
      </c>
      <c r="R10" s="68">
        <v>11</v>
      </c>
      <c r="S10" s="68">
        <v>3</v>
      </c>
      <c r="T10" s="68">
        <v>6</v>
      </c>
      <c r="U10" s="68">
        <v>11</v>
      </c>
      <c r="V10" s="68">
        <v>3</v>
      </c>
      <c r="W10" s="68">
        <v>6</v>
      </c>
      <c r="X10" s="68">
        <v>11</v>
      </c>
      <c r="Y10" s="68">
        <v>3</v>
      </c>
      <c r="Z10" s="68">
        <v>6</v>
      </c>
      <c r="AA10" s="68">
        <v>11</v>
      </c>
      <c r="AB10" s="68">
        <v>3</v>
      </c>
      <c r="AC10" s="68">
        <v>6</v>
      </c>
      <c r="AD10" s="68">
        <v>11</v>
      </c>
      <c r="AE10" s="68">
        <v>3</v>
      </c>
      <c r="AF10" s="68">
        <v>6</v>
      </c>
      <c r="AG10" s="68">
        <v>11</v>
      </c>
      <c r="AH10" s="68">
        <v>3</v>
      </c>
    </row>
    <row r="11" ht="15.75" spans="1:34">
      <c r="A11" s="25">
        <v>2</v>
      </c>
      <c r="B11" s="48"/>
      <c r="C11" s="13"/>
      <c r="D11" s="20"/>
      <c r="E11" s="20"/>
      <c r="F11" s="20"/>
      <c r="G11" s="20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</row>
    <row r="12" ht="15.75" spans="1:34">
      <c r="A12" s="25">
        <v>3</v>
      </c>
      <c r="B12" s="13"/>
      <c r="C12" s="1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15.75" spans="1:34">
      <c r="A13" s="25">
        <v>4</v>
      </c>
      <c r="B13" s="13"/>
      <c r="C13" s="1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15.75" spans="1:34">
      <c r="A14" s="25">
        <v>5</v>
      </c>
      <c r="B14" s="13"/>
      <c r="C14" s="13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15.75" spans="1:34">
      <c r="A15" s="25">
        <v>6</v>
      </c>
      <c r="B15" s="13"/>
      <c r="C15" s="1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15.75" spans="1:34">
      <c r="A16" s="49" t="s">
        <v>25</v>
      </c>
      <c r="B16" s="50"/>
      <c r="C16" s="51"/>
      <c r="D16" s="26">
        <f ca="1" t="shared" ref="D16:AH16" si="0">SUM(D10:D15)</f>
        <v>20</v>
      </c>
      <c r="E16" s="20">
        <f t="shared" si="0"/>
        <v>6</v>
      </c>
      <c r="F16" s="20">
        <f t="shared" si="0"/>
        <v>11</v>
      </c>
      <c r="G16" s="20">
        <f t="shared" si="0"/>
        <v>3</v>
      </c>
      <c r="H16" s="20">
        <f t="shared" si="0"/>
        <v>6</v>
      </c>
      <c r="I16" s="20">
        <f t="shared" si="0"/>
        <v>11</v>
      </c>
      <c r="J16" s="20">
        <f t="shared" si="0"/>
        <v>3</v>
      </c>
      <c r="K16" s="20">
        <f t="shared" si="0"/>
        <v>6</v>
      </c>
      <c r="L16" s="20">
        <f t="shared" si="0"/>
        <v>11</v>
      </c>
      <c r="M16" s="20">
        <f t="shared" si="0"/>
        <v>3</v>
      </c>
      <c r="N16" s="20">
        <f t="shared" si="0"/>
        <v>6</v>
      </c>
      <c r="O16" s="20">
        <f t="shared" si="0"/>
        <v>11</v>
      </c>
      <c r="P16" s="20">
        <f t="shared" si="0"/>
        <v>3</v>
      </c>
      <c r="Q16" s="20">
        <f t="shared" si="0"/>
        <v>6</v>
      </c>
      <c r="R16" s="20">
        <f t="shared" si="0"/>
        <v>11</v>
      </c>
      <c r="S16" s="20">
        <f t="shared" si="0"/>
        <v>3</v>
      </c>
      <c r="T16" s="20">
        <f t="shared" si="0"/>
        <v>6</v>
      </c>
      <c r="U16" s="20">
        <f t="shared" si="0"/>
        <v>11</v>
      </c>
      <c r="V16" s="20">
        <f t="shared" si="0"/>
        <v>3</v>
      </c>
      <c r="W16" s="20">
        <f t="shared" si="0"/>
        <v>6</v>
      </c>
      <c r="X16" s="20">
        <f t="shared" si="0"/>
        <v>11</v>
      </c>
      <c r="Y16" s="20">
        <f t="shared" si="0"/>
        <v>3</v>
      </c>
      <c r="Z16" s="20">
        <f t="shared" si="0"/>
        <v>6</v>
      </c>
      <c r="AA16" s="20">
        <f t="shared" si="0"/>
        <v>11</v>
      </c>
      <c r="AB16" s="20">
        <f t="shared" si="0"/>
        <v>3</v>
      </c>
      <c r="AC16" s="20">
        <f t="shared" si="0"/>
        <v>6</v>
      </c>
      <c r="AD16" s="20">
        <f t="shared" si="0"/>
        <v>11</v>
      </c>
      <c r="AE16" s="20">
        <f t="shared" si="0"/>
        <v>3</v>
      </c>
      <c r="AF16" s="20">
        <f t="shared" si="0"/>
        <v>6</v>
      </c>
      <c r="AG16" s="20">
        <f t="shared" si="0"/>
        <v>11</v>
      </c>
      <c r="AH16" s="20">
        <f t="shared" si="0"/>
        <v>3</v>
      </c>
    </row>
    <row r="17" ht="17.25" customHeight="1" spans="1:34">
      <c r="A17" s="64" t="s">
        <v>26</v>
      </c>
      <c r="B17" s="65"/>
      <c r="C17" s="65"/>
      <c r="D17" s="69">
        <f ca="1">D16*100/D16</f>
        <v>100</v>
      </c>
      <c r="E17" s="70">
        <f ca="1">E16*100/D16</f>
        <v>30</v>
      </c>
      <c r="F17" s="70">
        <f ca="1">F16*100/D16</f>
        <v>55</v>
      </c>
      <c r="G17" s="70">
        <f ca="1">G16*100/D16</f>
        <v>15</v>
      </c>
      <c r="H17" s="20">
        <f ca="1">H16*100/D16</f>
        <v>30</v>
      </c>
      <c r="I17" s="20">
        <f ca="1">I16*100/D16</f>
        <v>55</v>
      </c>
      <c r="J17" s="20">
        <f ca="1">J16*100/D16</f>
        <v>15</v>
      </c>
      <c r="K17" s="20">
        <f ca="1">K16*100/D16</f>
        <v>30</v>
      </c>
      <c r="L17" s="20">
        <f ca="1">L16*100/D16</f>
        <v>55</v>
      </c>
      <c r="M17" s="20">
        <f ca="1">M16*100/D16</f>
        <v>15</v>
      </c>
      <c r="N17" s="20">
        <f ca="1">N16*100/D16</f>
        <v>30</v>
      </c>
      <c r="O17" s="20">
        <f ca="1">O16*100/D16</f>
        <v>55</v>
      </c>
      <c r="P17" s="20">
        <f ca="1">P16*100/D16</f>
        <v>15</v>
      </c>
      <c r="Q17" s="20">
        <f ca="1">Q16*100/D16</f>
        <v>30</v>
      </c>
      <c r="R17" s="20">
        <f ca="1">R16*100/D16</f>
        <v>55</v>
      </c>
      <c r="S17" s="20">
        <f ca="1">S16*100/D16</f>
        <v>15</v>
      </c>
      <c r="T17" s="20">
        <f ca="1">T16*100/D16</f>
        <v>30</v>
      </c>
      <c r="U17" s="20">
        <f ca="1">U16*100/D16</f>
        <v>55</v>
      </c>
      <c r="V17" s="20">
        <f ca="1">V16*100/D16</f>
        <v>15</v>
      </c>
      <c r="W17" s="20">
        <f ca="1">W16*100/D16</f>
        <v>30</v>
      </c>
      <c r="X17" s="20">
        <f ca="1">X16*100/D16</f>
        <v>55</v>
      </c>
      <c r="Y17" s="20">
        <f ca="1">Y16*100/D16</f>
        <v>15</v>
      </c>
      <c r="Z17" s="20">
        <f ca="1">Z16*100/D16</f>
        <v>30</v>
      </c>
      <c r="AA17" s="20">
        <f ca="1">AA16*100/D16</f>
        <v>55</v>
      </c>
      <c r="AB17" s="20">
        <f ca="1">AB16*100/D16</f>
        <v>15</v>
      </c>
      <c r="AC17" s="20">
        <f ca="1">AC16*100/D16</f>
        <v>30</v>
      </c>
      <c r="AD17" s="20">
        <f ca="1">AD16*100/D16</f>
        <v>55</v>
      </c>
      <c r="AE17" s="20">
        <f ca="1">AE16*100/D16</f>
        <v>15</v>
      </c>
      <c r="AF17" s="20">
        <f ca="1">AF16*100/D16</f>
        <v>30</v>
      </c>
      <c r="AG17" s="20">
        <f ca="1">AG16*100/D16</f>
        <v>55</v>
      </c>
      <c r="AH17" s="20">
        <f ca="1">AH16*100/D16</f>
        <v>15</v>
      </c>
    </row>
  </sheetData>
  <mergeCells count="31">
    <mergeCell ref="I2:M2"/>
    <mergeCell ref="B3:G3"/>
    <mergeCell ref="I3:N3"/>
    <mergeCell ref="I4:N4"/>
    <mergeCell ref="E7:G7"/>
    <mergeCell ref="H7:M7"/>
    <mergeCell ref="N7:P7"/>
    <mergeCell ref="Q7:AE7"/>
    <mergeCell ref="AF7:AH7"/>
    <mergeCell ref="H8:J8"/>
    <mergeCell ref="K8:M8"/>
    <mergeCell ref="Q8:S8"/>
    <mergeCell ref="T8:V8"/>
    <mergeCell ref="W8:Y8"/>
    <mergeCell ref="Z8:AB8"/>
    <mergeCell ref="AC8:AE8"/>
    <mergeCell ref="A16:C16"/>
    <mergeCell ref="A17:C17"/>
    <mergeCell ref="A7:A9"/>
    <mergeCell ref="B7:B9"/>
    <mergeCell ref="C7:C9"/>
    <mergeCell ref="D7:D9"/>
    <mergeCell ref="E8:E9"/>
    <mergeCell ref="F8:F9"/>
    <mergeCell ref="G8:G9"/>
    <mergeCell ref="N8:N9"/>
    <mergeCell ref="O8:O9"/>
    <mergeCell ref="P8:P9"/>
    <mergeCell ref="AF8:AF9"/>
    <mergeCell ref="AG8:AG9"/>
    <mergeCell ref="AH8:AH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8"/>
  <sheetViews>
    <sheetView zoomScale="80" zoomScaleNormal="80" workbookViewId="0">
      <selection activeCell="A1" sqref="$A1:$XFD3"/>
    </sheetView>
  </sheetViews>
  <sheetFormatPr defaultColWidth="9" defaultRowHeight="15"/>
  <cols>
    <col min="2" max="2" width="19.7142857142857" customWidth="1"/>
    <col min="3" max="3" width="21.4285714285714" customWidth="1"/>
    <col min="4" max="4" width="13.1428571428571" customWidth="1"/>
    <col min="5" max="5" width="13" customWidth="1"/>
    <col min="6" max="6" width="12.7142857142857" customWidth="1"/>
    <col min="7" max="13" width="12.4285714285714" customWidth="1"/>
    <col min="14" max="14" width="12" customWidth="1"/>
    <col min="15" max="15" width="12.5714285714286" customWidth="1"/>
    <col min="16" max="16" width="13.1428571428571" customWidth="1"/>
    <col min="17" max="17" width="12.2857142857143" customWidth="1"/>
    <col min="18" max="18" width="12.4285714285714" customWidth="1"/>
    <col min="19" max="31" width="12.2857142857143" customWidth="1"/>
    <col min="32" max="32" width="12.1428571428571" customWidth="1"/>
    <col min="33" max="33" width="12.4285714285714" customWidth="1"/>
    <col min="34" max="34" width="12.1428571428571" customWidth="1"/>
    <col min="35" max="35" width="12.8571428571429" customWidth="1"/>
    <col min="36" max="36" width="11.4285714285714" customWidth="1"/>
    <col min="37" max="37" width="11.5714285714286" customWidth="1"/>
  </cols>
  <sheetData>
    <row r="1" ht="15.75" spans="1:37">
      <c r="B1" s="5" t="s">
        <v>0</v>
      </c>
      <c r="C1" s="6"/>
      <c r="E1" s="6"/>
      <c r="F1" s="6"/>
      <c r="I1" s="6" t="s">
        <v>1</v>
      </c>
      <c r="J1" s="6"/>
      <c r="K1" s="6"/>
      <c r="L1" s="6"/>
      <c r="M1" s="6"/>
      <c r="N1" s="7"/>
      <c r="O1" s="7"/>
      <c r="R1" s="1"/>
      <c r="S1" s="2"/>
      <c r="T1" s="2"/>
      <c r="U1" s="2"/>
      <c r="V1" s="2"/>
      <c r="W1" s="2"/>
    </row>
    <row r="2" ht="15.75" spans="1:37">
      <c r="A2" s="7"/>
      <c r="B2" s="8" t="s">
        <v>2</v>
      </c>
      <c r="C2" s="8"/>
      <c r="D2" s="8"/>
      <c r="E2" s="8"/>
      <c r="F2" s="8"/>
      <c r="G2" s="8"/>
      <c r="H2" s="6"/>
      <c r="I2" s="8" t="s">
        <v>3</v>
      </c>
      <c r="J2" s="8"/>
      <c r="K2" s="8"/>
      <c r="L2" s="8"/>
      <c r="M2" s="8"/>
      <c r="N2" s="8"/>
      <c r="O2" s="7"/>
      <c r="P2" s="7"/>
      <c r="Q2" s="7"/>
      <c r="R2" s="1"/>
      <c r="S2" s="2"/>
      <c r="T2" s="2"/>
      <c r="U2" s="2"/>
      <c r="V2" s="2"/>
      <c r="W2" s="2"/>
    </row>
    <row r="3" ht="15.75" spans="1:37">
      <c r="C3" s="9"/>
      <c r="E3" s="7"/>
      <c r="F3" s="7"/>
      <c r="I3" s="10" t="s">
        <v>4</v>
      </c>
      <c r="J3" s="10"/>
      <c r="K3" s="10"/>
      <c r="L3" s="10"/>
      <c r="M3" s="10"/>
      <c r="N3" s="10"/>
      <c r="O3" s="7"/>
      <c r="P3" s="7"/>
      <c r="Q3" s="7"/>
      <c r="R3" s="1"/>
      <c r="S3" s="2"/>
      <c r="T3" s="2"/>
      <c r="U3" s="2"/>
      <c r="V3" s="2"/>
      <c r="W3" s="2"/>
    </row>
    <row r="4" ht="15.75" spans="1:37">
      <c r="A4" s="7"/>
      <c r="G4" s="7"/>
      <c r="H4" s="7"/>
      <c r="I4" s="7"/>
      <c r="J4" s="7"/>
      <c r="K4" s="7"/>
      <c r="L4" s="7"/>
      <c r="M4" s="7"/>
      <c r="N4" s="7"/>
      <c r="O4" s="10" t="s">
        <v>27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7"/>
      <c r="AI4" s="7"/>
      <c r="AJ4" s="7"/>
      <c r="AK4" s="7"/>
    </row>
    <row r="5" ht="15.75" spans="1:37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spans="1:37">
      <c r="A6" s="7"/>
      <c r="B6" s="11"/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 spans="1:37">
      <c r="A7" s="25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/>
      <c r="G7" s="13"/>
      <c r="H7" s="33" t="s">
        <v>10</v>
      </c>
      <c r="I7" s="34"/>
      <c r="J7" s="34"/>
      <c r="K7" s="34"/>
      <c r="L7" s="34"/>
      <c r="M7" s="34"/>
      <c r="N7" s="34"/>
      <c r="O7" s="34"/>
      <c r="P7" s="35"/>
      <c r="Q7" s="13" t="s">
        <v>11</v>
      </c>
      <c r="R7" s="13"/>
      <c r="S7" s="13"/>
      <c r="T7" s="33" t="s">
        <v>12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5"/>
      <c r="AI7" s="13" t="s">
        <v>13</v>
      </c>
      <c r="AJ7" s="13"/>
      <c r="AK7" s="13"/>
    </row>
    <row r="8" ht="15.75" customHeight="1" spans="1:37">
      <c r="A8" s="25"/>
      <c r="B8" s="13"/>
      <c r="C8" s="13"/>
      <c r="D8" s="13"/>
      <c r="E8" s="12" t="s">
        <v>14</v>
      </c>
      <c r="F8" s="12" t="s">
        <v>15</v>
      </c>
      <c r="G8" s="12" t="s">
        <v>16</v>
      </c>
      <c r="H8" s="62" t="s">
        <v>17</v>
      </c>
      <c r="I8" s="63"/>
      <c r="J8" s="63"/>
      <c r="K8" s="34" t="s">
        <v>18</v>
      </c>
      <c r="L8" s="34"/>
      <c r="M8" s="35"/>
      <c r="N8" s="45" t="s">
        <v>28</v>
      </c>
      <c r="O8" s="46"/>
      <c r="P8" s="47"/>
      <c r="Q8" s="12" t="s">
        <v>14</v>
      </c>
      <c r="R8" s="12" t="s">
        <v>15</v>
      </c>
      <c r="S8" s="12" t="s">
        <v>16</v>
      </c>
      <c r="T8" s="15" t="s">
        <v>19</v>
      </c>
      <c r="U8" s="15"/>
      <c r="V8" s="15"/>
      <c r="W8" s="15" t="s">
        <v>20</v>
      </c>
      <c r="X8" s="15"/>
      <c r="Y8" s="15"/>
      <c r="Z8" s="25" t="s">
        <v>21</v>
      </c>
      <c r="AA8" s="25"/>
      <c r="AB8" s="25"/>
      <c r="AC8" s="25" t="s">
        <v>22</v>
      </c>
      <c r="AD8" s="25"/>
      <c r="AE8" s="25"/>
      <c r="AF8" s="46" t="s">
        <v>23</v>
      </c>
      <c r="AG8" s="46"/>
      <c r="AH8" s="47"/>
      <c r="AI8" s="12" t="s">
        <v>14</v>
      </c>
      <c r="AJ8" s="12" t="s">
        <v>15</v>
      </c>
      <c r="AK8" s="12" t="s">
        <v>16</v>
      </c>
    </row>
    <row r="9" ht="115.5" customHeight="1" spans="1:37">
      <c r="A9" s="25"/>
      <c r="B9" s="13"/>
      <c r="C9" s="13"/>
      <c r="D9" s="13"/>
      <c r="E9" s="16"/>
      <c r="F9" s="16"/>
      <c r="G9" s="16"/>
      <c r="H9" s="13" t="s">
        <v>14</v>
      </c>
      <c r="I9" s="13" t="s">
        <v>15</v>
      </c>
      <c r="J9" s="13" t="s">
        <v>16</v>
      </c>
      <c r="K9" s="13" t="s">
        <v>14</v>
      </c>
      <c r="L9" s="13" t="s">
        <v>15</v>
      </c>
      <c r="M9" s="13" t="s">
        <v>16</v>
      </c>
      <c r="N9" s="13" t="s">
        <v>14</v>
      </c>
      <c r="O9" s="13" t="s">
        <v>15</v>
      </c>
      <c r="P9" s="13" t="s">
        <v>16</v>
      </c>
      <c r="Q9" s="16"/>
      <c r="R9" s="16"/>
      <c r="S9" s="16"/>
      <c r="T9" s="13" t="s">
        <v>14</v>
      </c>
      <c r="U9" s="13" t="s">
        <v>15</v>
      </c>
      <c r="V9" s="13" t="s">
        <v>16</v>
      </c>
      <c r="W9" s="13" t="s">
        <v>14</v>
      </c>
      <c r="X9" s="13" t="s">
        <v>15</v>
      </c>
      <c r="Y9" s="13" t="s">
        <v>16</v>
      </c>
      <c r="Z9" s="13" t="s">
        <v>14</v>
      </c>
      <c r="AA9" s="13" t="s">
        <v>15</v>
      </c>
      <c r="AB9" s="13" t="s">
        <v>16</v>
      </c>
      <c r="AC9" s="13" t="s">
        <v>14</v>
      </c>
      <c r="AD9" s="13" t="s">
        <v>15</v>
      </c>
      <c r="AE9" s="13" t="s">
        <v>16</v>
      </c>
      <c r="AF9" s="13" t="s">
        <v>14</v>
      </c>
      <c r="AG9" s="13" t="s">
        <v>15</v>
      </c>
      <c r="AH9" s="13" t="s">
        <v>16</v>
      </c>
      <c r="AI9" s="16"/>
      <c r="AJ9" s="16"/>
      <c r="AK9" s="16"/>
    </row>
    <row r="10" ht="15.75" spans="1:37">
      <c r="A10" s="25">
        <v>1</v>
      </c>
      <c r="B10" s="60" t="s">
        <v>29</v>
      </c>
      <c r="C10" s="59"/>
      <c r="D10" s="20">
        <v>20</v>
      </c>
      <c r="E10" s="58">
        <v>8</v>
      </c>
      <c r="F10" s="58">
        <v>10</v>
      </c>
      <c r="G10" s="58">
        <v>2</v>
      </c>
      <c r="H10" s="58">
        <v>7</v>
      </c>
      <c r="I10" s="58">
        <v>9</v>
      </c>
      <c r="J10" s="58">
        <v>4</v>
      </c>
      <c r="K10" s="58">
        <v>7</v>
      </c>
      <c r="L10" s="58">
        <v>8</v>
      </c>
      <c r="M10" s="58">
        <v>10</v>
      </c>
      <c r="N10" s="58">
        <v>2</v>
      </c>
      <c r="O10" s="58">
        <v>7</v>
      </c>
      <c r="P10" s="58">
        <v>9</v>
      </c>
      <c r="Q10" s="58">
        <v>4</v>
      </c>
      <c r="R10" s="58">
        <v>7</v>
      </c>
      <c r="S10" s="58">
        <v>8</v>
      </c>
      <c r="T10" s="58">
        <v>10</v>
      </c>
      <c r="U10" s="58">
        <v>2</v>
      </c>
      <c r="V10" s="58">
        <v>7</v>
      </c>
      <c r="W10" s="58">
        <v>9</v>
      </c>
      <c r="X10" s="58">
        <v>4</v>
      </c>
      <c r="Y10" s="58">
        <v>7</v>
      </c>
      <c r="Z10" s="58">
        <v>8</v>
      </c>
      <c r="AA10" s="58">
        <v>10</v>
      </c>
      <c r="AB10" s="58">
        <v>2</v>
      </c>
      <c r="AC10" s="58">
        <v>7</v>
      </c>
      <c r="AD10" s="58">
        <v>9</v>
      </c>
      <c r="AE10" s="58">
        <v>4</v>
      </c>
      <c r="AF10" s="58">
        <v>7</v>
      </c>
      <c r="AG10" s="58">
        <v>9</v>
      </c>
      <c r="AH10" s="58">
        <v>4</v>
      </c>
      <c r="AI10" s="58">
        <v>7</v>
      </c>
      <c r="AJ10" s="58">
        <v>9</v>
      </c>
      <c r="AK10" s="58">
        <v>4</v>
      </c>
    </row>
    <row r="11" ht="15.75" spans="1:37">
      <c r="A11" s="25">
        <v>2</v>
      </c>
      <c r="B11" s="60"/>
      <c r="C11" s="5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ht="15.75" spans="1:37">
      <c r="A12" s="25">
        <v>3</v>
      </c>
      <c r="B12" s="48"/>
      <c r="C12" s="1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ht="15.75" spans="1:37">
      <c r="A13" s="25">
        <v>4</v>
      </c>
      <c r="B13" s="48"/>
      <c r="C13" s="1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ht="15.75" spans="1:37">
      <c r="A14" s="25">
        <v>5</v>
      </c>
      <c r="B14" s="13"/>
      <c r="C14" s="13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ht="15.75" spans="1:37">
      <c r="A15" s="25">
        <v>6</v>
      </c>
      <c r="B15" s="13"/>
      <c r="C15" s="1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ht="15.75" spans="1:37">
      <c r="A16" s="25">
        <v>7</v>
      </c>
      <c r="B16" s="13"/>
      <c r="C16" s="13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ht="15.75" spans="1:37">
      <c r="A17" s="49" t="s">
        <v>25</v>
      </c>
      <c r="B17" s="50"/>
      <c r="C17" s="51"/>
      <c r="D17" s="26">
        <f t="shared" ref="D17:AK17" si="0">SUM(D10:D16)</f>
        <v>20</v>
      </c>
      <c r="E17" s="20">
        <f t="shared" si="0"/>
        <v>8</v>
      </c>
      <c r="F17" s="20">
        <f t="shared" si="0"/>
        <v>10</v>
      </c>
      <c r="G17" s="20">
        <f t="shared" si="0"/>
        <v>2</v>
      </c>
      <c r="H17" s="20">
        <f t="shared" si="0"/>
        <v>7</v>
      </c>
      <c r="I17" s="20">
        <f t="shared" si="0"/>
        <v>9</v>
      </c>
      <c r="J17" s="20">
        <f t="shared" si="0"/>
        <v>4</v>
      </c>
      <c r="K17" s="20">
        <f t="shared" si="0"/>
        <v>7</v>
      </c>
      <c r="L17" s="20">
        <f t="shared" si="0"/>
        <v>8</v>
      </c>
      <c r="M17" s="20">
        <f t="shared" si="0"/>
        <v>10</v>
      </c>
      <c r="N17" s="20">
        <f t="shared" si="0"/>
        <v>2</v>
      </c>
      <c r="O17" s="20">
        <f t="shared" si="0"/>
        <v>7</v>
      </c>
      <c r="P17" s="20">
        <f t="shared" si="0"/>
        <v>9</v>
      </c>
      <c r="Q17" s="20">
        <f t="shared" si="0"/>
        <v>4</v>
      </c>
      <c r="R17" s="20">
        <f t="shared" si="0"/>
        <v>7</v>
      </c>
      <c r="S17" s="20">
        <f t="shared" si="0"/>
        <v>8</v>
      </c>
      <c r="T17" s="20">
        <f t="shared" si="0"/>
        <v>10</v>
      </c>
      <c r="U17" s="20">
        <f t="shared" si="0"/>
        <v>2</v>
      </c>
      <c r="V17" s="20">
        <f t="shared" si="0"/>
        <v>7</v>
      </c>
      <c r="W17" s="20">
        <f t="shared" si="0"/>
        <v>9</v>
      </c>
      <c r="X17" s="20">
        <f t="shared" si="0"/>
        <v>4</v>
      </c>
      <c r="Y17" s="20">
        <f t="shared" si="0"/>
        <v>7</v>
      </c>
      <c r="Z17" s="20">
        <f t="shared" si="0"/>
        <v>8</v>
      </c>
      <c r="AA17" s="20">
        <f t="shared" si="0"/>
        <v>10</v>
      </c>
      <c r="AB17" s="20">
        <f t="shared" si="0"/>
        <v>2</v>
      </c>
      <c r="AC17" s="20">
        <f t="shared" si="0"/>
        <v>7</v>
      </c>
      <c r="AD17" s="20">
        <f t="shared" si="0"/>
        <v>9</v>
      </c>
      <c r="AE17" s="20">
        <f t="shared" si="0"/>
        <v>4</v>
      </c>
      <c r="AF17" s="20">
        <f t="shared" si="0"/>
        <v>7</v>
      </c>
      <c r="AG17" s="20">
        <f t="shared" si="0"/>
        <v>9</v>
      </c>
      <c r="AH17" s="20">
        <f t="shared" si="0"/>
        <v>4</v>
      </c>
      <c r="AI17" s="20">
        <f t="shared" si="0"/>
        <v>7</v>
      </c>
      <c r="AJ17" s="20">
        <f t="shared" si="0"/>
        <v>9</v>
      </c>
      <c r="AK17" s="20">
        <f t="shared" si="0"/>
        <v>4</v>
      </c>
    </row>
    <row r="18" ht="18.75" customHeight="1" spans="1:37">
      <c r="A18" s="64" t="s">
        <v>26</v>
      </c>
      <c r="B18" s="65"/>
      <c r="C18" s="65"/>
      <c r="D18" s="61">
        <f>D17*100/D17</f>
        <v>100</v>
      </c>
      <c r="E18" s="28">
        <f>E17*100/D17</f>
        <v>40</v>
      </c>
      <c r="F18" s="28">
        <f>F17*100/D17</f>
        <v>50</v>
      </c>
      <c r="G18" s="28">
        <f>G17*100/D17</f>
        <v>10</v>
      </c>
      <c r="H18" s="28">
        <f>H17*100/D17</f>
        <v>35</v>
      </c>
      <c r="I18" s="28">
        <f>I17*100/D17</f>
        <v>45</v>
      </c>
      <c r="J18" s="28">
        <f>J17*100/D17</f>
        <v>20</v>
      </c>
      <c r="K18" s="28">
        <f>K17*100/D17</f>
        <v>35</v>
      </c>
      <c r="L18" s="28">
        <f>L17*100/D17</f>
        <v>40</v>
      </c>
      <c r="M18" s="28">
        <f>M17*100/D17</f>
        <v>50</v>
      </c>
      <c r="N18" s="28">
        <f>N17*100/D17</f>
        <v>10</v>
      </c>
      <c r="O18" s="28">
        <f>O17*100/D17</f>
        <v>35</v>
      </c>
      <c r="P18" s="28">
        <f>P17*100/D17</f>
        <v>45</v>
      </c>
      <c r="Q18" s="28">
        <f>Q17*100/D17</f>
        <v>20</v>
      </c>
      <c r="R18" s="28">
        <f>R17*100/D17</f>
        <v>35</v>
      </c>
      <c r="S18" s="28">
        <f>S17*100/D17</f>
        <v>40</v>
      </c>
      <c r="T18" s="28">
        <f>T17*100/D17</f>
        <v>50</v>
      </c>
      <c r="U18" s="28">
        <f>U17*100/D17</f>
        <v>10</v>
      </c>
      <c r="V18" s="28">
        <f>V17*100/D17</f>
        <v>35</v>
      </c>
      <c r="W18" s="28">
        <f>W17*100/D17</f>
        <v>45</v>
      </c>
      <c r="X18" s="28">
        <f>X17*100/D17</f>
        <v>20</v>
      </c>
      <c r="Y18" s="28">
        <f>Y17*100/D17</f>
        <v>35</v>
      </c>
      <c r="Z18" s="28">
        <f>Z17*100/D17</f>
        <v>40</v>
      </c>
      <c r="AA18" s="28">
        <f>AA17*100/D17</f>
        <v>50</v>
      </c>
      <c r="AB18" s="28">
        <f>AB17*100/D17</f>
        <v>10</v>
      </c>
      <c r="AC18" s="28">
        <f>AC17*100/D17</f>
        <v>35</v>
      </c>
      <c r="AD18" s="28">
        <f>AD17*100/D17</f>
        <v>45</v>
      </c>
      <c r="AE18" s="28">
        <f>AE17*100/D17</f>
        <v>20</v>
      </c>
      <c r="AF18" s="28">
        <f>AF17*100/D17</f>
        <v>35</v>
      </c>
      <c r="AG18" s="28">
        <f>AG17*100/D17</f>
        <v>45</v>
      </c>
      <c r="AH18" s="28">
        <f>AH17*100/D17</f>
        <v>20</v>
      </c>
      <c r="AI18" s="28">
        <f>AI17*100/D17</f>
        <v>35</v>
      </c>
      <c r="AJ18" s="28">
        <f>AJ17*100/D17</f>
        <v>45</v>
      </c>
      <c r="AK18" s="28">
        <f>AK17*100/D17</f>
        <v>20</v>
      </c>
    </row>
  </sheetData>
  <mergeCells count="32">
    <mergeCell ref="I1:M1"/>
    <mergeCell ref="B2:G2"/>
    <mergeCell ref="I2:N2"/>
    <mergeCell ref="I3:N3"/>
    <mergeCell ref="E7:G7"/>
    <mergeCell ref="H7:P7"/>
    <mergeCell ref="Q7:S7"/>
    <mergeCell ref="T7:AH7"/>
    <mergeCell ref="AI7:AK7"/>
    <mergeCell ref="H8:J8"/>
    <mergeCell ref="K8:M8"/>
    <mergeCell ref="N8:P8"/>
    <mergeCell ref="T8:V8"/>
    <mergeCell ref="W8:Y8"/>
    <mergeCell ref="Z8:AB8"/>
    <mergeCell ref="AC8:AE8"/>
    <mergeCell ref="AF8:AH8"/>
    <mergeCell ref="A17:C17"/>
    <mergeCell ref="A18:C18"/>
    <mergeCell ref="A7:A9"/>
    <mergeCell ref="B7:B9"/>
    <mergeCell ref="C7:C9"/>
    <mergeCell ref="D7:D9"/>
    <mergeCell ref="E8:E9"/>
    <mergeCell ref="F8:F9"/>
    <mergeCell ref="G8:G9"/>
    <mergeCell ref="Q8:Q9"/>
    <mergeCell ref="R8:R9"/>
    <mergeCell ref="S8:S9"/>
    <mergeCell ref="AI8:AI9"/>
    <mergeCell ref="AJ8:AJ9"/>
    <mergeCell ref="AK8:AK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K18"/>
  <sheetViews>
    <sheetView zoomScale="80" zoomScaleNormal="80" workbookViewId="0">
      <selection activeCell="A2" sqref="$A2:$XFD4"/>
    </sheetView>
  </sheetViews>
  <sheetFormatPr defaultColWidth="9" defaultRowHeight="15"/>
  <cols>
    <col min="2" max="2" width="16.1428571428571" customWidth="1"/>
    <col min="3" max="3" width="20.7142857142857" customWidth="1"/>
    <col min="4" max="4" width="12.5714285714286" customWidth="1"/>
    <col min="5" max="5" width="13.4285714285714" customWidth="1"/>
    <col min="6" max="6" width="12.5714285714286" customWidth="1"/>
    <col min="7" max="13" width="12.8571428571429" customWidth="1"/>
    <col min="14" max="14" width="13" customWidth="1"/>
    <col min="15" max="15" width="12.4285714285714" customWidth="1"/>
    <col min="16" max="16" width="12.7142857142857" customWidth="1"/>
    <col min="17" max="17" width="12.1428571428571" customWidth="1"/>
    <col min="18" max="18" width="12.7142857142857" customWidth="1"/>
    <col min="19" max="33" width="12.2857142857143" customWidth="1"/>
    <col min="34" max="34" width="12" customWidth="1"/>
    <col min="35" max="35" width="12.2857142857143" customWidth="1"/>
    <col min="36" max="37" width="12.1428571428571" customWidth="1"/>
  </cols>
  <sheetData>
    <row r="2" ht="15.75" spans="1:37">
      <c r="B2" s="5" t="s">
        <v>0</v>
      </c>
      <c r="C2" s="6"/>
      <c r="E2" s="6"/>
      <c r="F2" s="6"/>
      <c r="I2" s="6" t="s">
        <v>1</v>
      </c>
      <c r="J2" s="6"/>
      <c r="K2" s="6"/>
      <c r="L2" s="6"/>
      <c r="M2" s="6"/>
      <c r="N2" s="7"/>
      <c r="O2" s="7"/>
      <c r="R2" s="1"/>
      <c r="S2" s="2"/>
      <c r="T2" s="2"/>
      <c r="U2" s="2"/>
      <c r="V2" s="2"/>
      <c r="W2" s="2"/>
    </row>
    <row r="3" ht="15.75" spans="1:37">
      <c r="A3" s="7"/>
      <c r="B3" s="8" t="s">
        <v>2</v>
      </c>
      <c r="C3" s="8"/>
      <c r="D3" s="8"/>
      <c r="E3" s="8"/>
      <c r="F3" s="8"/>
      <c r="G3" s="8"/>
      <c r="H3" s="6"/>
      <c r="I3" s="8" t="s">
        <v>3</v>
      </c>
      <c r="J3" s="8"/>
      <c r="K3" s="8"/>
      <c r="L3" s="8"/>
      <c r="M3" s="8"/>
      <c r="N3" s="8"/>
      <c r="O3" s="7"/>
      <c r="P3" s="7"/>
      <c r="Q3" s="7"/>
      <c r="R3" s="1"/>
      <c r="S3" s="2"/>
      <c r="T3" s="2"/>
      <c r="U3" s="2"/>
      <c r="V3" s="2"/>
      <c r="W3" s="2"/>
    </row>
    <row r="4" ht="15.75" spans="1:37">
      <c r="C4" s="9"/>
      <c r="E4" s="7"/>
      <c r="F4" s="7"/>
      <c r="I4" s="10" t="s">
        <v>4</v>
      </c>
      <c r="J4" s="10"/>
      <c r="K4" s="10"/>
      <c r="L4" s="10"/>
      <c r="M4" s="10"/>
      <c r="N4" s="10"/>
      <c r="O4" s="7"/>
      <c r="P4" s="7"/>
      <c r="Q4" s="7"/>
      <c r="R4" s="1"/>
      <c r="S4" s="2"/>
      <c r="T4" s="2"/>
      <c r="U4" s="2"/>
      <c r="V4" s="2"/>
      <c r="W4" s="2"/>
    </row>
    <row r="5" ht="15.75" spans="1:37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spans="1:37">
      <c r="A6" s="7"/>
      <c r="B6" s="11"/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 spans="1:37">
      <c r="A7" s="25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/>
      <c r="G7" s="13"/>
      <c r="H7" s="33" t="s">
        <v>10</v>
      </c>
      <c r="I7" s="34"/>
      <c r="J7" s="34"/>
      <c r="K7" s="34"/>
      <c r="L7" s="34"/>
      <c r="M7" s="34"/>
      <c r="N7" s="34"/>
      <c r="O7" s="34"/>
      <c r="P7" s="35"/>
      <c r="Q7" s="13" t="s">
        <v>11</v>
      </c>
      <c r="R7" s="13"/>
      <c r="S7" s="13"/>
      <c r="T7" s="33" t="s">
        <v>12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5"/>
      <c r="AI7" s="13" t="s">
        <v>13</v>
      </c>
      <c r="AJ7" s="13"/>
      <c r="AK7" s="13"/>
    </row>
    <row r="8" ht="15.75" customHeight="1" spans="1:37">
      <c r="A8" s="25"/>
      <c r="B8" s="13"/>
      <c r="C8" s="13"/>
      <c r="D8" s="13"/>
      <c r="E8" s="12" t="s">
        <v>14</v>
      </c>
      <c r="F8" s="12" t="s">
        <v>15</v>
      </c>
      <c r="G8" s="12" t="s">
        <v>16</v>
      </c>
      <c r="H8" s="15" t="s">
        <v>17</v>
      </c>
      <c r="I8" s="15"/>
      <c r="J8" s="15"/>
      <c r="K8" s="13" t="s">
        <v>18</v>
      </c>
      <c r="L8" s="13"/>
      <c r="M8" s="13"/>
      <c r="N8" s="25" t="s">
        <v>28</v>
      </c>
      <c r="O8" s="25"/>
      <c r="P8" s="25"/>
      <c r="Q8" s="12" t="s">
        <v>14</v>
      </c>
      <c r="R8" s="12" t="s">
        <v>15</v>
      </c>
      <c r="S8" s="12" t="s">
        <v>16</v>
      </c>
      <c r="T8" s="15" t="s">
        <v>19</v>
      </c>
      <c r="U8" s="15"/>
      <c r="V8" s="15"/>
      <c r="W8" s="15" t="s">
        <v>20</v>
      </c>
      <c r="X8" s="15"/>
      <c r="Y8" s="15"/>
      <c r="Z8" s="25" t="s">
        <v>21</v>
      </c>
      <c r="AA8" s="25"/>
      <c r="AB8" s="25"/>
      <c r="AC8" s="25" t="s">
        <v>22</v>
      </c>
      <c r="AD8" s="25"/>
      <c r="AE8" s="25"/>
      <c r="AF8" s="46" t="s">
        <v>23</v>
      </c>
      <c r="AG8" s="46"/>
      <c r="AH8" s="47"/>
      <c r="AI8" s="12" t="s">
        <v>14</v>
      </c>
      <c r="AJ8" s="12" t="s">
        <v>15</v>
      </c>
      <c r="AK8" s="12" t="s">
        <v>16</v>
      </c>
    </row>
    <row r="9" ht="114.75" customHeight="1" spans="1:37">
      <c r="A9" s="25"/>
      <c r="B9" s="13"/>
      <c r="C9" s="13"/>
      <c r="D9" s="13"/>
      <c r="E9" s="16"/>
      <c r="F9" s="16"/>
      <c r="G9" s="16"/>
      <c r="H9" s="13" t="s">
        <v>14</v>
      </c>
      <c r="I9" s="13" t="s">
        <v>15</v>
      </c>
      <c r="J9" s="13" t="s">
        <v>16</v>
      </c>
      <c r="K9" s="13" t="s">
        <v>14</v>
      </c>
      <c r="L9" s="13" t="s">
        <v>15</v>
      </c>
      <c r="M9" s="13" t="s">
        <v>16</v>
      </c>
      <c r="N9" s="13" t="s">
        <v>14</v>
      </c>
      <c r="O9" s="13" t="s">
        <v>15</v>
      </c>
      <c r="P9" s="13" t="s">
        <v>16</v>
      </c>
      <c r="Q9" s="16"/>
      <c r="R9" s="16"/>
      <c r="S9" s="16"/>
      <c r="T9" s="13" t="s">
        <v>14</v>
      </c>
      <c r="U9" s="13" t="s">
        <v>15</v>
      </c>
      <c r="V9" s="13" t="s">
        <v>16</v>
      </c>
      <c r="W9" s="13" t="s">
        <v>14</v>
      </c>
      <c r="X9" s="13" t="s">
        <v>15</v>
      </c>
      <c r="Y9" s="13" t="s">
        <v>16</v>
      </c>
      <c r="Z9" s="13" t="s">
        <v>14</v>
      </c>
      <c r="AA9" s="13" t="s">
        <v>15</v>
      </c>
      <c r="AB9" s="13" t="s">
        <v>16</v>
      </c>
      <c r="AC9" s="13" t="s">
        <v>14</v>
      </c>
      <c r="AD9" s="13" t="s">
        <v>15</v>
      </c>
      <c r="AE9" s="13" t="s">
        <v>16</v>
      </c>
      <c r="AF9" s="13" t="s">
        <v>14</v>
      </c>
      <c r="AG9" s="13" t="s">
        <v>15</v>
      </c>
      <c r="AH9" s="13" t="s">
        <v>16</v>
      </c>
      <c r="AI9" s="16"/>
      <c r="AJ9" s="16"/>
      <c r="AK9" s="16"/>
    </row>
    <row r="10" s="9" customFormat="1" ht="15.75" spans="1:37">
      <c r="A10" s="56">
        <v>1</v>
      </c>
      <c r="B10" s="57" t="s">
        <v>30</v>
      </c>
      <c r="C10" s="48"/>
      <c r="D10" s="20">
        <v>25</v>
      </c>
      <c r="E10" s="58">
        <v>9</v>
      </c>
      <c r="F10" s="58">
        <v>12</v>
      </c>
      <c r="G10" s="58">
        <v>4</v>
      </c>
      <c r="H10" s="58">
        <v>9</v>
      </c>
      <c r="I10" s="58">
        <v>12</v>
      </c>
      <c r="J10" s="58">
        <v>4</v>
      </c>
      <c r="K10" s="58">
        <v>7</v>
      </c>
      <c r="L10" s="58">
        <v>13</v>
      </c>
      <c r="M10" s="58">
        <v>5</v>
      </c>
      <c r="N10" s="58">
        <v>9</v>
      </c>
      <c r="O10" s="58">
        <v>11</v>
      </c>
      <c r="P10" s="58">
        <v>5</v>
      </c>
      <c r="Q10" s="58">
        <v>8</v>
      </c>
      <c r="R10" s="58">
        <v>12</v>
      </c>
      <c r="S10" s="58">
        <v>5</v>
      </c>
      <c r="T10" s="58">
        <v>8</v>
      </c>
      <c r="U10" s="58">
        <v>12</v>
      </c>
      <c r="V10" s="58">
        <v>5</v>
      </c>
      <c r="W10" s="58">
        <v>9</v>
      </c>
      <c r="X10" s="58">
        <v>12</v>
      </c>
      <c r="Y10" s="58">
        <v>4</v>
      </c>
      <c r="Z10" s="58">
        <v>7</v>
      </c>
      <c r="AA10" s="58">
        <v>13</v>
      </c>
      <c r="AB10" s="58">
        <v>5</v>
      </c>
      <c r="AC10" s="58">
        <v>9</v>
      </c>
      <c r="AD10" s="58">
        <v>11</v>
      </c>
      <c r="AE10" s="58">
        <v>5</v>
      </c>
      <c r="AF10" s="58">
        <v>8</v>
      </c>
      <c r="AG10" s="58">
        <v>12</v>
      </c>
      <c r="AH10" s="58">
        <v>5</v>
      </c>
      <c r="AI10" s="58">
        <v>9</v>
      </c>
      <c r="AJ10" s="58">
        <v>11</v>
      </c>
      <c r="AK10" s="58">
        <v>5</v>
      </c>
    </row>
    <row r="11" s="9" customFormat="1" ht="27" customHeight="1" spans="1:37">
      <c r="A11" s="56">
        <v>2</v>
      </c>
      <c r="B11" s="57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ht="15.75" spans="1:37">
      <c r="A12" s="25">
        <v>3</v>
      </c>
      <c r="B12" s="59"/>
      <c r="C12" s="1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ht="15.75" spans="1:37">
      <c r="A13" s="25">
        <v>4</v>
      </c>
      <c r="B13" s="59"/>
      <c r="C13" s="13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</row>
    <row r="14" ht="15.75" spans="1:37">
      <c r="A14" s="25">
        <v>5</v>
      </c>
      <c r="B14" s="60"/>
      <c r="C14" s="6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ht="15.75" spans="1:37">
      <c r="A15" s="25">
        <v>6</v>
      </c>
      <c r="B15" s="60"/>
      <c r="C15" s="6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ht="15.75" spans="1:37">
      <c r="A16" s="25">
        <v>7</v>
      </c>
      <c r="B16" s="60"/>
      <c r="C16" s="6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ht="15.75" spans="1:37">
      <c r="A17" s="49" t="s">
        <v>25</v>
      </c>
      <c r="B17" s="50"/>
      <c r="C17" s="51"/>
      <c r="D17" s="26">
        <f>SUM(D10:D16)</f>
        <v>25</v>
      </c>
      <c r="E17" s="20">
        <f>SUM(E10:E16)</f>
        <v>9</v>
      </c>
      <c r="F17" s="20">
        <f>SUM(F10:F16)</f>
        <v>12</v>
      </c>
      <c r="G17" s="20">
        <f>SUM(G10:G16)</f>
        <v>4</v>
      </c>
      <c r="H17" s="20">
        <f t="shared" ref="H17:M17" si="0">SUM(H10:H16)</f>
        <v>9</v>
      </c>
      <c r="I17" s="20">
        <f t="shared" si="0"/>
        <v>12</v>
      </c>
      <c r="J17" s="20">
        <f t="shared" si="0"/>
        <v>4</v>
      </c>
      <c r="K17" s="20">
        <f t="shared" si="0"/>
        <v>7</v>
      </c>
      <c r="L17" s="20">
        <f t="shared" si="0"/>
        <v>13</v>
      </c>
      <c r="M17" s="20">
        <f t="shared" si="0"/>
        <v>5</v>
      </c>
      <c r="N17" s="20">
        <f t="shared" ref="N17:S17" si="1">SUM(N10:N16)</f>
        <v>9</v>
      </c>
      <c r="O17" s="20">
        <f t="shared" si="1"/>
        <v>11</v>
      </c>
      <c r="P17" s="20">
        <f t="shared" si="1"/>
        <v>5</v>
      </c>
      <c r="Q17" s="20">
        <f t="shared" si="1"/>
        <v>8</v>
      </c>
      <c r="R17" s="20">
        <f t="shared" si="1"/>
        <v>12</v>
      </c>
      <c r="S17" s="20">
        <f t="shared" si="1"/>
        <v>5</v>
      </c>
      <c r="T17" s="20">
        <f t="shared" ref="T17:AE17" si="2">SUM(T10:T16)</f>
        <v>8</v>
      </c>
      <c r="U17" s="20">
        <f t="shared" si="2"/>
        <v>12</v>
      </c>
      <c r="V17" s="20">
        <f t="shared" si="2"/>
        <v>5</v>
      </c>
      <c r="W17" s="20">
        <f t="shared" si="2"/>
        <v>9</v>
      </c>
      <c r="X17" s="20">
        <f t="shared" si="2"/>
        <v>12</v>
      </c>
      <c r="Y17" s="20">
        <f t="shared" si="2"/>
        <v>4</v>
      </c>
      <c r="Z17" s="20">
        <f t="shared" si="2"/>
        <v>7</v>
      </c>
      <c r="AA17" s="20">
        <f t="shared" si="2"/>
        <v>13</v>
      </c>
      <c r="AB17" s="20">
        <f t="shared" si="2"/>
        <v>5</v>
      </c>
      <c r="AC17" s="20">
        <f t="shared" si="2"/>
        <v>9</v>
      </c>
      <c r="AD17" s="20">
        <f t="shared" si="2"/>
        <v>11</v>
      </c>
      <c r="AE17" s="20">
        <f t="shared" si="2"/>
        <v>5</v>
      </c>
      <c r="AF17" s="20">
        <f t="shared" ref="AF17:AK17" si="3">SUM(AF10:AF16)</f>
        <v>8</v>
      </c>
      <c r="AG17" s="20">
        <f t="shared" si="3"/>
        <v>12</v>
      </c>
      <c r="AH17" s="20">
        <f t="shared" si="3"/>
        <v>5</v>
      </c>
      <c r="AI17" s="20">
        <f t="shared" si="3"/>
        <v>9</v>
      </c>
      <c r="AJ17" s="20">
        <f t="shared" si="3"/>
        <v>11</v>
      </c>
      <c r="AK17" s="20">
        <f t="shared" si="3"/>
        <v>5</v>
      </c>
    </row>
    <row r="18" ht="21.75" customHeight="1" spans="1:37">
      <c r="A18" s="53" t="s">
        <v>26</v>
      </c>
      <c r="B18" s="53"/>
      <c r="C18" s="53"/>
      <c r="D18" s="61">
        <f>D17*100/D17</f>
        <v>100</v>
      </c>
      <c r="E18" s="28">
        <f>E17*100/D17</f>
        <v>36</v>
      </c>
      <c r="F18" s="28">
        <f>F17*100/D17</f>
        <v>48</v>
      </c>
      <c r="G18" s="28">
        <f>G17*100/D17</f>
        <v>16</v>
      </c>
      <c r="H18" s="28">
        <f>H17*100/D17</f>
        <v>36</v>
      </c>
      <c r="I18" s="28">
        <f>I17*100/D17</f>
        <v>48</v>
      </c>
      <c r="J18" s="28">
        <f>J17*100/D17</f>
        <v>16</v>
      </c>
      <c r="K18" s="28">
        <f>K17*100/D17</f>
        <v>28</v>
      </c>
      <c r="L18" s="28">
        <f>L17*100/D17</f>
        <v>52</v>
      </c>
      <c r="M18" s="28">
        <f>M17*100/D17</f>
        <v>20</v>
      </c>
      <c r="N18" s="28">
        <f>N17*100/D17</f>
        <v>36</v>
      </c>
      <c r="O18" s="28">
        <f>O17*100/D17</f>
        <v>44</v>
      </c>
      <c r="P18" s="28">
        <f>P17*100/D17</f>
        <v>20</v>
      </c>
      <c r="Q18" s="28">
        <f>Q17*100/D17</f>
        <v>32</v>
      </c>
      <c r="R18" s="28">
        <f>R17*100/D17</f>
        <v>48</v>
      </c>
      <c r="S18" s="28">
        <f>S17*100/D17</f>
        <v>20</v>
      </c>
      <c r="T18" s="28">
        <f>T17*100/D17</f>
        <v>32</v>
      </c>
      <c r="U18" s="28">
        <f>U17*100/D17</f>
        <v>48</v>
      </c>
      <c r="V18" s="28">
        <f>V17*100/D17</f>
        <v>20</v>
      </c>
      <c r="W18" s="28">
        <f>W17*100/D17</f>
        <v>36</v>
      </c>
      <c r="X18" s="28">
        <f>X17*100/D17</f>
        <v>48</v>
      </c>
      <c r="Y18" s="28">
        <f>Y17*100/D17</f>
        <v>16</v>
      </c>
      <c r="Z18" s="28">
        <f>Z17*100/D17</f>
        <v>28</v>
      </c>
      <c r="AA18" s="28">
        <f>AA17*100/D17</f>
        <v>52</v>
      </c>
      <c r="AB18" s="28">
        <f>AB17*100/D17</f>
        <v>20</v>
      </c>
      <c r="AC18" s="28">
        <f>AC17*100/D17</f>
        <v>36</v>
      </c>
      <c r="AD18" s="28">
        <f>AD17*100/D17</f>
        <v>44</v>
      </c>
      <c r="AE18" s="28">
        <f>AE17*100/D17</f>
        <v>20</v>
      </c>
      <c r="AF18" s="28">
        <f>AF17*100/D17</f>
        <v>32</v>
      </c>
      <c r="AG18" s="28">
        <f>AG17*100/D17</f>
        <v>48</v>
      </c>
      <c r="AH18" s="28">
        <f>AH17*100/D17</f>
        <v>20</v>
      </c>
      <c r="AI18" s="28">
        <f>AI17*100/D17</f>
        <v>36</v>
      </c>
      <c r="AJ18" s="28">
        <f>AJ17*100/D17</f>
        <v>44</v>
      </c>
      <c r="AK18" s="28">
        <f>AK17*100/D17</f>
        <v>20</v>
      </c>
    </row>
  </sheetData>
  <mergeCells count="32">
    <mergeCell ref="I2:M2"/>
    <mergeCell ref="B3:G3"/>
    <mergeCell ref="I3:N3"/>
    <mergeCell ref="I4:N4"/>
    <mergeCell ref="E7:G7"/>
    <mergeCell ref="H7:P7"/>
    <mergeCell ref="Q7:S7"/>
    <mergeCell ref="T7:AH7"/>
    <mergeCell ref="AI7:AK7"/>
    <mergeCell ref="H8:J8"/>
    <mergeCell ref="K8:M8"/>
    <mergeCell ref="N8:P8"/>
    <mergeCell ref="T8:V8"/>
    <mergeCell ref="W8:Y8"/>
    <mergeCell ref="Z8:AB8"/>
    <mergeCell ref="AC8:AE8"/>
    <mergeCell ref="AF8:AH8"/>
    <mergeCell ref="A17:C17"/>
    <mergeCell ref="A18:C18"/>
    <mergeCell ref="A7:A9"/>
    <mergeCell ref="B7:B9"/>
    <mergeCell ref="C7:C9"/>
    <mergeCell ref="D7:D9"/>
    <mergeCell ref="E8:E9"/>
    <mergeCell ref="F8:F9"/>
    <mergeCell ref="G8:G9"/>
    <mergeCell ref="Q8:Q9"/>
    <mergeCell ref="R8:R9"/>
    <mergeCell ref="S8:S9"/>
    <mergeCell ref="AI8:AI9"/>
    <mergeCell ref="AJ8:AJ9"/>
    <mergeCell ref="AK8:AK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N15"/>
  <sheetViews>
    <sheetView zoomScale="70" zoomScaleNormal="70" workbookViewId="0">
      <selection activeCell="A2" sqref="$A2:$XFD4"/>
    </sheetView>
  </sheetViews>
  <sheetFormatPr defaultColWidth="9" defaultRowHeight="15"/>
  <cols>
    <col min="2" max="2" width="20.5714285714286" customWidth="1"/>
    <col min="3" max="3" width="22.8571428571429" customWidth="1"/>
    <col min="4" max="4" width="12.7142857142857" customWidth="1"/>
    <col min="5" max="5" width="11.7142857142857" customWidth="1"/>
    <col min="6" max="16" width="11.8571428571429" customWidth="1"/>
    <col min="17" max="17" width="12" customWidth="1"/>
    <col min="18" max="18" width="11" customWidth="1"/>
    <col min="19" max="19" width="11.7142857142857" customWidth="1"/>
    <col min="20" max="20" width="11.8571428571429" customWidth="1"/>
    <col min="21" max="21" width="12.1428571428571" customWidth="1"/>
    <col min="22" max="34" width="11.4285714285714" customWidth="1"/>
    <col min="35" max="35" width="12" customWidth="1"/>
    <col min="36" max="36" width="11.8571428571429" customWidth="1"/>
    <col min="37" max="37" width="11.5714285714286" customWidth="1"/>
    <col min="38" max="38" width="12.1428571428571" customWidth="1"/>
    <col min="39" max="39" width="11" customWidth="1"/>
    <col min="40" max="40" width="11.4285714285714" customWidth="1"/>
  </cols>
  <sheetData>
    <row r="2" ht="15.75" spans="1:40">
      <c r="B2" s="5" t="s">
        <v>0</v>
      </c>
      <c r="C2" s="6"/>
      <c r="E2" s="6"/>
      <c r="F2" s="6"/>
      <c r="I2" s="6" t="s">
        <v>1</v>
      </c>
      <c r="J2" s="6"/>
      <c r="K2" s="6"/>
      <c r="L2" s="6"/>
      <c r="M2" s="6"/>
      <c r="N2" s="7"/>
      <c r="O2" s="7"/>
      <c r="R2" s="1"/>
      <c r="S2" s="2"/>
      <c r="T2" s="2"/>
      <c r="U2" s="2"/>
      <c r="V2" s="2"/>
      <c r="W2" s="2"/>
    </row>
    <row r="3" ht="15.75" spans="1:40">
      <c r="A3" s="7"/>
      <c r="B3" s="8" t="s">
        <v>2</v>
      </c>
      <c r="C3" s="8"/>
      <c r="D3" s="8"/>
      <c r="E3" s="8"/>
      <c r="F3" s="8"/>
      <c r="G3" s="8"/>
      <c r="H3" s="6"/>
      <c r="I3" s="8" t="s">
        <v>3</v>
      </c>
      <c r="J3" s="8"/>
      <c r="K3" s="8"/>
      <c r="L3" s="8"/>
      <c r="M3" s="8"/>
      <c r="N3" s="8"/>
      <c r="O3" s="7"/>
      <c r="P3" s="7"/>
      <c r="Q3" s="7"/>
      <c r="R3" s="1"/>
      <c r="S3" s="2"/>
      <c r="T3" s="2"/>
      <c r="U3" s="2"/>
      <c r="V3" s="2"/>
      <c r="W3" s="2"/>
    </row>
    <row r="4" ht="15.75" spans="1:40">
      <c r="C4" s="9"/>
      <c r="E4" s="7"/>
      <c r="F4" s="7"/>
      <c r="I4" s="10" t="s">
        <v>4</v>
      </c>
      <c r="J4" s="10"/>
      <c r="K4" s="10"/>
      <c r="L4" s="10"/>
      <c r="M4" s="10"/>
      <c r="N4" s="10"/>
      <c r="O4" s="7"/>
      <c r="P4" s="7"/>
      <c r="Q4" s="7"/>
      <c r="R4" s="1"/>
      <c r="S4" s="2"/>
      <c r="T4" s="2"/>
      <c r="U4" s="2"/>
      <c r="V4" s="2"/>
      <c r="W4" s="2"/>
    </row>
    <row r="5" ht="15.75" spans="1:4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15.75" spans="1:40">
      <c r="A6" s="7"/>
      <c r="B6" s="11"/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ht="15.75" customHeight="1" spans="1:40">
      <c r="A7" s="25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/>
      <c r="G7" s="13"/>
      <c r="H7" s="33" t="s">
        <v>10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5"/>
      <c r="T7" s="13" t="s">
        <v>11</v>
      </c>
      <c r="U7" s="13"/>
      <c r="V7" s="13"/>
      <c r="W7" s="33" t="s">
        <v>12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5"/>
      <c r="AL7" s="13" t="s">
        <v>13</v>
      </c>
      <c r="AM7" s="13"/>
      <c r="AN7" s="13"/>
    </row>
    <row r="8" ht="15.75" customHeight="1" spans="1:40">
      <c r="A8" s="25"/>
      <c r="B8" s="13"/>
      <c r="C8" s="13"/>
      <c r="D8" s="13"/>
      <c r="E8" s="12" t="s">
        <v>14</v>
      </c>
      <c r="F8" s="12" t="s">
        <v>15</v>
      </c>
      <c r="G8" s="12" t="s">
        <v>16</v>
      </c>
      <c r="H8" s="36" t="s">
        <v>17</v>
      </c>
      <c r="I8" s="37"/>
      <c r="J8" s="38"/>
      <c r="K8" s="39" t="s">
        <v>18</v>
      </c>
      <c r="L8" s="40"/>
      <c r="M8" s="41"/>
      <c r="N8" s="42" t="s">
        <v>31</v>
      </c>
      <c r="O8" s="43"/>
      <c r="P8" s="44"/>
      <c r="Q8" s="45" t="s">
        <v>28</v>
      </c>
      <c r="R8" s="46"/>
      <c r="S8" s="47"/>
      <c r="T8" s="12" t="s">
        <v>14</v>
      </c>
      <c r="U8" s="12" t="s">
        <v>15</v>
      </c>
      <c r="V8" s="12" t="s">
        <v>16</v>
      </c>
      <c r="W8" s="15" t="s">
        <v>19</v>
      </c>
      <c r="X8" s="15"/>
      <c r="Y8" s="15"/>
      <c r="Z8" s="15" t="s">
        <v>20</v>
      </c>
      <c r="AA8" s="15"/>
      <c r="AB8" s="15"/>
      <c r="AC8" s="25" t="s">
        <v>21</v>
      </c>
      <c r="AD8" s="25"/>
      <c r="AE8" s="25"/>
      <c r="AF8" s="25" t="s">
        <v>22</v>
      </c>
      <c r="AG8" s="25"/>
      <c r="AH8" s="25"/>
      <c r="AI8" s="46" t="s">
        <v>23</v>
      </c>
      <c r="AJ8" s="46"/>
      <c r="AK8" s="47"/>
      <c r="AL8" s="12" t="s">
        <v>14</v>
      </c>
      <c r="AM8" s="12" t="s">
        <v>15</v>
      </c>
      <c r="AN8" s="12" t="s">
        <v>16</v>
      </c>
    </row>
    <row r="9" ht="126.75" customHeight="1" spans="1:40">
      <c r="A9" s="25"/>
      <c r="B9" s="13"/>
      <c r="C9" s="13"/>
      <c r="D9" s="13"/>
      <c r="E9" s="16"/>
      <c r="F9" s="16"/>
      <c r="G9" s="16"/>
      <c r="H9" s="13" t="s">
        <v>14</v>
      </c>
      <c r="I9" s="13" t="s">
        <v>15</v>
      </c>
      <c r="J9" s="13" t="s">
        <v>16</v>
      </c>
      <c r="K9" s="13" t="s">
        <v>14</v>
      </c>
      <c r="L9" s="13" t="s">
        <v>15</v>
      </c>
      <c r="M9" s="13" t="s">
        <v>16</v>
      </c>
      <c r="N9" s="13" t="s">
        <v>14</v>
      </c>
      <c r="O9" s="13" t="s">
        <v>15</v>
      </c>
      <c r="P9" s="13" t="s">
        <v>16</v>
      </c>
      <c r="Q9" s="13" t="s">
        <v>14</v>
      </c>
      <c r="R9" s="13" t="s">
        <v>15</v>
      </c>
      <c r="S9" s="13" t="s">
        <v>16</v>
      </c>
      <c r="T9" s="16"/>
      <c r="U9" s="16"/>
      <c r="V9" s="16"/>
      <c r="W9" s="13" t="s">
        <v>14</v>
      </c>
      <c r="X9" s="13" t="s">
        <v>15</v>
      </c>
      <c r="Y9" s="13" t="s">
        <v>16</v>
      </c>
      <c r="Z9" s="13" t="s">
        <v>14</v>
      </c>
      <c r="AA9" s="13" t="s">
        <v>15</v>
      </c>
      <c r="AB9" s="13" t="s">
        <v>16</v>
      </c>
      <c r="AC9" s="13" t="s">
        <v>14</v>
      </c>
      <c r="AD9" s="13" t="s">
        <v>15</v>
      </c>
      <c r="AE9" s="13" t="s">
        <v>16</v>
      </c>
      <c r="AF9" s="13" t="s">
        <v>14</v>
      </c>
      <c r="AG9" s="13" t="s">
        <v>15</v>
      </c>
      <c r="AH9" s="13" t="s">
        <v>16</v>
      </c>
      <c r="AI9" s="13" t="s">
        <v>14</v>
      </c>
      <c r="AJ9" s="13" t="s">
        <v>15</v>
      </c>
      <c r="AK9" s="13" t="s">
        <v>16</v>
      </c>
      <c r="AL9" s="16"/>
      <c r="AM9" s="16"/>
      <c r="AN9" s="16"/>
    </row>
    <row r="10" ht="15.75" spans="1:40">
      <c r="A10" s="25">
        <v>1</v>
      </c>
      <c r="B10" s="20" t="s">
        <v>32</v>
      </c>
      <c r="C10" s="48"/>
      <c r="D10" s="25">
        <v>25</v>
      </c>
      <c r="E10" s="25">
        <v>7</v>
      </c>
      <c r="F10" s="25">
        <v>12</v>
      </c>
      <c r="G10" s="25">
        <v>5</v>
      </c>
      <c r="H10" s="25">
        <v>8</v>
      </c>
      <c r="I10" s="25">
        <v>12</v>
      </c>
      <c r="J10" s="25">
        <v>5</v>
      </c>
      <c r="K10" s="25">
        <v>7</v>
      </c>
      <c r="L10" s="25">
        <v>12</v>
      </c>
      <c r="M10" s="25">
        <v>5</v>
      </c>
      <c r="N10" s="25">
        <v>8</v>
      </c>
      <c r="O10" s="25">
        <v>12</v>
      </c>
      <c r="P10" s="25">
        <v>5</v>
      </c>
      <c r="Q10" s="25">
        <v>7</v>
      </c>
      <c r="R10" s="25">
        <v>12</v>
      </c>
      <c r="S10" s="25">
        <v>5</v>
      </c>
      <c r="T10" s="25">
        <v>8</v>
      </c>
      <c r="U10" s="25">
        <v>12</v>
      </c>
      <c r="V10" s="25">
        <v>5</v>
      </c>
      <c r="W10" s="25">
        <v>7</v>
      </c>
      <c r="X10" s="25">
        <v>12</v>
      </c>
      <c r="Y10" s="25">
        <v>5</v>
      </c>
      <c r="Z10" s="25">
        <v>8</v>
      </c>
      <c r="AA10" s="25">
        <v>12</v>
      </c>
      <c r="AB10" s="25">
        <v>5</v>
      </c>
      <c r="AC10" s="25">
        <v>7</v>
      </c>
      <c r="AD10" s="25">
        <v>12</v>
      </c>
      <c r="AE10" s="25">
        <v>5</v>
      </c>
      <c r="AF10" s="25">
        <v>8</v>
      </c>
      <c r="AG10" s="25">
        <v>12</v>
      </c>
      <c r="AH10" s="25">
        <v>5</v>
      </c>
      <c r="AI10" s="25">
        <v>7</v>
      </c>
      <c r="AJ10" s="25">
        <v>12</v>
      </c>
      <c r="AK10" s="25">
        <v>5</v>
      </c>
      <c r="AL10" s="25">
        <v>8</v>
      </c>
      <c r="AM10" s="25">
        <v>12</v>
      </c>
      <c r="AN10" s="25">
        <v>5</v>
      </c>
    </row>
    <row r="11" ht="15.75" spans="1:40">
      <c r="A11" s="25">
        <v>2</v>
      </c>
      <c r="B11" s="20"/>
      <c r="C11" s="48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ht="15.75" spans="1:40">
      <c r="A12" s="25"/>
      <c r="B12" s="20"/>
      <c r="C12" s="48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ht="15.75" spans="1:40">
      <c r="A13" s="25"/>
      <c r="B13" s="20"/>
      <c r="C13" s="48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ht="15.75" spans="1:40">
      <c r="A14" s="49" t="s">
        <v>25</v>
      </c>
      <c r="B14" s="50"/>
      <c r="C14" s="51"/>
      <c r="D14" s="52">
        <v>50</v>
      </c>
      <c r="E14" s="25">
        <f t="shared" ref="E14:AN14" si="0">SUM(E10:E13)</f>
        <v>7</v>
      </c>
      <c r="F14" s="25">
        <f t="shared" si="0"/>
        <v>12</v>
      </c>
      <c r="G14" s="25">
        <f t="shared" si="0"/>
        <v>5</v>
      </c>
      <c r="H14" s="25">
        <f t="shared" si="0"/>
        <v>8</v>
      </c>
      <c r="I14" s="25">
        <f t="shared" si="0"/>
        <v>12</v>
      </c>
      <c r="J14" s="25">
        <f t="shared" si="0"/>
        <v>5</v>
      </c>
      <c r="K14" s="25">
        <f t="shared" si="0"/>
        <v>7</v>
      </c>
      <c r="L14" s="25">
        <f t="shared" si="0"/>
        <v>12</v>
      </c>
      <c r="M14" s="25">
        <f t="shared" si="0"/>
        <v>5</v>
      </c>
      <c r="N14" s="25">
        <f t="shared" si="0"/>
        <v>8</v>
      </c>
      <c r="O14" s="25">
        <f t="shared" si="0"/>
        <v>12</v>
      </c>
      <c r="P14" s="25">
        <f t="shared" si="0"/>
        <v>5</v>
      </c>
      <c r="Q14" s="25">
        <f t="shared" si="0"/>
        <v>7</v>
      </c>
      <c r="R14" s="25">
        <f t="shared" si="0"/>
        <v>12</v>
      </c>
      <c r="S14" s="25">
        <f t="shared" si="0"/>
        <v>5</v>
      </c>
      <c r="T14" s="25">
        <f t="shared" si="0"/>
        <v>8</v>
      </c>
      <c r="U14" s="25">
        <f t="shared" si="0"/>
        <v>12</v>
      </c>
      <c r="V14" s="25">
        <f t="shared" si="0"/>
        <v>5</v>
      </c>
      <c r="W14" s="25">
        <f t="shared" si="0"/>
        <v>7</v>
      </c>
      <c r="X14" s="25">
        <f t="shared" si="0"/>
        <v>12</v>
      </c>
      <c r="Y14" s="25">
        <f t="shared" si="0"/>
        <v>5</v>
      </c>
      <c r="Z14" s="25">
        <f t="shared" si="0"/>
        <v>8</v>
      </c>
      <c r="AA14" s="25">
        <f t="shared" si="0"/>
        <v>12</v>
      </c>
      <c r="AB14" s="25">
        <f t="shared" si="0"/>
        <v>5</v>
      </c>
      <c r="AC14" s="25">
        <f t="shared" si="0"/>
        <v>7</v>
      </c>
      <c r="AD14" s="25">
        <f t="shared" si="0"/>
        <v>12</v>
      </c>
      <c r="AE14" s="25">
        <f t="shared" si="0"/>
        <v>5</v>
      </c>
      <c r="AF14" s="25">
        <f t="shared" si="0"/>
        <v>8</v>
      </c>
      <c r="AG14" s="25">
        <f t="shared" si="0"/>
        <v>12</v>
      </c>
      <c r="AH14" s="25">
        <f t="shared" si="0"/>
        <v>5</v>
      </c>
      <c r="AI14" s="25">
        <f t="shared" si="0"/>
        <v>7</v>
      </c>
      <c r="AJ14" s="25">
        <f t="shared" si="0"/>
        <v>12</v>
      </c>
      <c r="AK14" s="25">
        <f t="shared" si="0"/>
        <v>5</v>
      </c>
      <c r="AL14" s="25">
        <f t="shared" si="0"/>
        <v>8</v>
      </c>
      <c r="AM14" s="25">
        <f t="shared" si="0"/>
        <v>12</v>
      </c>
      <c r="AN14" s="25">
        <f t="shared" si="0"/>
        <v>5</v>
      </c>
    </row>
    <row r="15" ht="18.75" customHeight="1" spans="1:40">
      <c r="A15" s="53" t="s">
        <v>26</v>
      </c>
      <c r="B15" s="53"/>
      <c r="C15" s="53"/>
      <c r="D15" s="54">
        <f>D14*100/D14</f>
        <v>100</v>
      </c>
      <c r="E15" s="55">
        <f>E14*100/D14</f>
        <v>14</v>
      </c>
      <c r="F15" s="55">
        <f>F14*100/D14</f>
        <v>24</v>
      </c>
      <c r="G15" s="55">
        <f>G14*100/D14</f>
        <v>10</v>
      </c>
      <c r="H15" s="55">
        <f>H14*100/D14</f>
        <v>16</v>
      </c>
      <c r="I15" s="55">
        <f>I14*100/D14</f>
        <v>24</v>
      </c>
      <c r="J15" s="55">
        <f>J14*100/D14</f>
        <v>10</v>
      </c>
      <c r="K15" s="55">
        <f>K14*100/D14</f>
        <v>14</v>
      </c>
      <c r="L15" s="55">
        <f>L14*100/D14</f>
        <v>24</v>
      </c>
      <c r="M15" s="55">
        <f>M14*100/D14</f>
        <v>10</v>
      </c>
      <c r="N15" s="55">
        <f>N14*100/D14</f>
        <v>16</v>
      </c>
      <c r="O15" s="55">
        <f>O14*100/D14</f>
        <v>24</v>
      </c>
      <c r="P15" s="55">
        <f>P14*100/D14</f>
        <v>10</v>
      </c>
      <c r="Q15" s="55">
        <f>Q14*100/D14</f>
        <v>14</v>
      </c>
      <c r="R15" s="55">
        <f>R14*100/D14</f>
        <v>24</v>
      </c>
      <c r="S15" s="55">
        <f>S14*100/D14</f>
        <v>10</v>
      </c>
      <c r="T15" s="55">
        <f>T14*100/D14</f>
        <v>16</v>
      </c>
      <c r="U15" s="55">
        <f>U14*100/D14</f>
        <v>24</v>
      </c>
      <c r="V15" s="55">
        <f>V14*100/D14</f>
        <v>10</v>
      </c>
      <c r="W15" s="55">
        <f>W14*100/D14</f>
        <v>14</v>
      </c>
      <c r="X15" s="55">
        <f>X14*100/D14</f>
        <v>24</v>
      </c>
      <c r="Y15" s="55">
        <f>Y14*100/D14</f>
        <v>10</v>
      </c>
      <c r="Z15" s="55">
        <f>Z14*100/D14</f>
        <v>16</v>
      </c>
      <c r="AA15" s="55">
        <f>AA14*100/D14</f>
        <v>24</v>
      </c>
      <c r="AB15" s="55">
        <f>AB14*100/D14</f>
        <v>10</v>
      </c>
      <c r="AC15" s="55">
        <f>AC14*100/D14</f>
        <v>14</v>
      </c>
      <c r="AD15" s="55">
        <f>AD14*100/D14</f>
        <v>24</v>
      </c>
      <c r="AE15" s="55">
        <f>AE14*100/D14</f>
        <v>10</v>
      </c>
      <c r="AF15" s="55">
        <f>AF14*100/D14</f>
        <v>16</v>
      </c>
      <c r="AG15" s="55">
        <f>AG14*100/D14</f>
        <v>24</v>
      </c>
      <c r="AH15" s="55">
        <f>AH14*100/D14</f>
        <v>10</v>
      </c>
      <c r="AI15" s="55">
        <f>AI14*100/D14</f>
        <v>14</v>
      </c>
      <c r="AJ15" s="55">
        <f>AJ14*100/D14</f>
        <v>24</v>
      </c>
      <c r="AK15" s="55">
        <f>AK14*100/D14</f>
        <v>10</v>
      </c>
      <c r="AL15" s="55">
        <f>AL14*100/D14</f>
        <v>16</v>
      </c>
      <c r="AM15" s="55">
        <f>AM14*100/D14</f>
        <v>24</v>
      </c>
      <c r="AN15" s="55">
        <f>AN14*100/D14</f>
        <v>10</v>
      </c>
    </row>
  </sheetData>
  <mergeCells count="33">
    <mergeCell ref="I2:M2"/>
    <mergeCell ref="B3:G3"/>
    <mergeCell ref="I3:N3"/>
    <mergeCell ref="I4:N4"/>
    <mergeCell ref="E7:G7"/>
    <mergeCell ref="H7:S7"/>
    <mergeCell ref="T7:V7"/>
    <mergeCell ref="W7:AK7"/>
    <mergeCell ref="AL7:AN7"/>
    <mergeCell ref="H8:J8"/>
    <mergeCell ref="K8:M8"/>
    <mergeCell ref="N8:P8"/>
    <mergeCell ref="Q8:S8"/>
    <mergeCell ref="W8:Y8"/>
    <mergeCell ref="Z8:AB8"/>
    <mergeCell ref="AC8:AE8"/>
    <mergeCell ref="AF8:AH8"/>
    <mergeCell ref="AI8:AK8"/>
    <mergeCell ref="A14:C14"/>
    <mergeCell ref="A15:C15"/>
    <mergeCell ref="A7:A9"/>
    <mergeCell ref="B7:B9"/>
    <mergeCell ref="C7:C9"/>
    <mergeCell ref="D7:D9"/>
    <mergeCell ref="E8:E9"/>
    <mergeCell ref="F8:F9"/>
    <mergeCell ref="G8:G9"/>
    <mergeCell ref="T8:T9"/>
    <mergeCell ref="U8:U9"/>
    <mergeCell ref="V8:V9"/>
    <mergeCell ref="AL8:AL9"/>
    <mergeCell ref="AM8:AM9"/>
    <mergeCell ref="AN8:AN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tabSelected="1" zoomScale="83" zoomScaleNormal="83" workbookViewId="0">
      <selection activeCell="W21" sqref="W21"/>
    </sheetView>
  </sheetViews>
  <sheetFormatPr defaultColWidth="9" defaultRowHeight="15"/>
  <cols>
    <col min="1" max="1" width="19.2857142857143" customWidth="1"/>
    <col min="2" max="2" width="9.57142857142857" customWidth="1"/>
    <col min="3" max="17" width="9.28571428571429" customWidth="1"/>
    <col min="18" max="18" width="9.28571428571429" style="1"/>
    <col min="19" max="23" width="9" style="2"/>
  </cols>
  <sheetData>
    <row r="1" spans="1:23">
      <c r="N1" s="3"/>
      <c r="O1" s="3"/>
      <c r="V1" s="4" t="s">
        <v>33</v>
      </c>
      <c r="W1" s="4"/>
    </row>
    <row r="2" ht="15.75" spans="1:23">
      <c r="B2" s="5" t="s">
        <v>0</v>
      </c>
      <c r="C2" s="6"/>
      <c r="E2" s="6"/>
      <c r="F2" s="6"/>
      <c r="I2" s="6" t="s">
        <v>34</v>
      </c>
      <c r="J2" s="6"/>
      <c r="K2" s="6"/>
      <c r="L2" s="6"/>
      <c r="M2" s="6"/>
      <c r="N2" s="7"/>
      <c r="O2" s="7"/>
    </row>
    <row r="3" ht="15.75" spans="1:23">
      <c r="A3" s="7"/>
      <c r="B3" s="8" t="s">
        <v>35</v>
      </c>
      <c r="C3" s="8"/>
      <c r="D3" s="8"/>
      <c r="E3" s="8"/>
      <c r="F3" s="8"/>
      <c r="G3" s="8"/>
      <c r="H3" s="6"/>
      <c r="I3" s="8" t="s">
        <v>3</v>
      </c>
      <c r="J3" s="8"/>
      <c r="K3" s="8"/>
      <c r="L3" s="8"/>
      <c r="M3" s="8"/>
      <c r="N3" s="8"/>
      <c r="O3" s="7"/>
      <c r="P3" s="7"/>
      <c r="Q3" s="7"/>
    </row>
    <row r="4" ht="15.75" spans="1:23">
      <c r="C4" s="9"/>
      <c r="E4" s="7"/>
      <c r="F4" s="7"/>
      <c r="I4" s="10" t="s">
        <v>4</v>
      </c>
      <c r="J4" s="10"/>
      <c r="K4" s="10"/>
      <c r="L4" s="10"/>
      <c r="M4" s="10"/>
      <c r="N4" s="10"/>
      <c r="O4" s="7"/>
      <c r="P4" s="7"/>
      <c r="Q4" s="7"/>
    </row>
    <row r="5" ht="15.75" spans="1:2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ht="15.75" spans="1:23">
      <c r="A6" s="1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ht="15.75" customHeight="1" spans="1:23">
      <c r="A7" s="12" t="s">
        <v>36</v>
      </c>
      <c r="B7" s="13" t="s">
        <v>37</v>
      </c>
      <c r="C7" s="13" t="s">
        <v>9</v>
      </c>
      <c r="D7" s="13"/>
      <c r="E7" s="13"/>
      <c r="F7" s="13" t="s">
        <v>10</v>
      </c>
      <c r="G7" s="13"/>
      <c r="H7" s="13"/>
      <c r="I7" s="13" t="s">
        <v>11</v>
      </c>
      <c r="J7" s="13"/>
      <c r="K7" s="13"/>
      <c r="L7" s="13" t="s">
        <v>12</v>
      </c>
      <c r="M7" s="13"/>
      <c r="N7" s="13"/>
      <c r="O7" s="13" t="s">
        <v>13</v>
      </c>
      <c r="P7" s="13"/>
      <c r="Q7" s="13"/>
      <c r="R7" s="14" t="s">
        <v>38</v>
      </c>
      <c r="S7" s="15"/>
      <c r="T7" s="15"/>
      <c r="U7" s="15"/>
      <c r="V7" s="15"/>
      <c r="W7" s="15"/>
    </row>
    <row r="8" ht="63" spans="1:23">
      <c r="A8" s="16"/>
      <c r="B8" s="13"/>
      <c r="C8" s="13" t="s">
        <v>14</v>
      </c>
      <c r="D8" s="13" t="s">
        <v>15</v>
      </c>
      <c r="E8" s="13" t="s">
        <v>16</v>
      </c>
      <c r="F8" s="13" t="s">
        <v>14</v>
      </c>
      <c r="G8" s="13" t="s">
        <v>15</v>
      </c>
      <c r="H8" s="13" t="s">
        <v>16</v>
      </c>
      <c r="I8" s="13" t="s">
        <v>14</v>
      </c>
      <c r="J8" s="13" t="s">
        <v>15</v>
      </c>
      <c r="K8" s="13" t="s">
        <v>16</v>
      </c>
      <c r="L8" s="13" t="s">
        <v>14</v>
      </c>
      <c r="M8" s="13" t="s">
        <v>15</v>
      </c>
      <c r="N8" s="13" t="s">
        <v>16</v>
      </c>
      <c r="O8" s="13" t="s">
        <v>14</v>
      </c>
      <c r="P8" s="13" t="s">
        <v>15</v>
      </c>
      <c r="Q8" s="13" t="s">
        <v>16</v>
      </c>
      <c r="R8" s="17" t="s">
        <v>14</v>
      </c>
      <c r="S8" s="18" t="s">
        <v>26</v>
      </c>
      <c r="T8" s="18" t="s">
        <v>15</v>
      </c>
      <c r="U8" s="19" t="s">
        <v>26</v>
      </c>
      <c r="V8" s="18" t="s">
        <v>16</v>
      </c>
      <c r="W8" s="18" t="s">
        <v>26</v>
      </c>
    </row>
    <row r="9" ht="15.75" spans="1:23">
      <c r="A9" s="16" t="s">
        <v>39</v>
      </c>
      <c r="B9" s="13">
        <v>20</v>
      </c>
      <c r="C9" s="20">
        <v>4</v>
      </c>
      <c r="D9" s="20">
        <v>2</v>
      </c>
      <c r="E9" s="20">
        <v>14</v>
      </c>
      <c r="F9" s="20">
        <v>4</v>
      </c>
      <c r="G9" s="20">
        <v>6</v>
      </c>
      <c r="H9" s="20">
        <v>10</v>
      </c>
      <c r="I9" s="20">
        <v>3</v>
      </c>
      <c r="J9" s="20">
        <v>3</v>
      </c>
      <c r="K9" s="20">
        <v>14</v>
      </c>
      <c r="L9" s="20">
        <v>5</v>
      </c>
      <c r="M9" s="20">
        <v>3</v>
      </c>
      <c r="N9" s="20">
        <v>12</v>
      </c>
      <c r="O9" s="13">
        <v>2</v>
      </c>
      <c r="P9" s="13">
        <v>4</v>
      </c>
      <c r="Q9" s="13">
        <v>14</v>
      </c>
      <c r="R9" s="17">
        <v>18</v>
      </c>
      <c r="S9" s="18">
        <v>20.2</v>
      </c>
      <c r="T9" s="18">
        <v>109</v>
      </c>
      <c r="U9" s="19">
        <v>66.6</v>
      </c>
      <c r="V9" s="18">
        <v>64</v>
      </c>
      <c r="W9" s="18">
        <v>13.1</v>
      </c>
    </row>
    <row r="10" ht="15.75" spans="1:23">
      <c r="A10" s="21" t="s">
        <v>40</v>
      </c>
      <c r="B10" s="20">
        <v>25</v>
      </c>
      <c r="C10" s="20">
        <v>5</v>
      </c>
      <c r="D10" s="20">
        <v>3</v>
      </c>
      <c r="E10" s="20">
        <v>17</v>
      </c>
      <c r="F10" s="20">
        <v>21</v>
      </c>
      <c r="G10" s="20">
        <v>34</v>
      </c>
      <c r="H10" s="20">
        <v>10</v>
      </c>
      <c r="I10" s="20">
        <v>5</v>
      </c>
      <c r="J10" s="20">
        <v>6</v>
      </c>
      <c r="K10" s="20">
        <v>14</v>
      </c>
      <c r="L10" s="20">
        <v>5</v>
      </c>
      <c r="M10" s="20">
        <v>6</v>
      </c>
      <c r="N10" s="20">
        <v>14</v>
      </c>
      <c r="O10" s="20">
        <v>5</v>
      </c>
      <c r="P10" s="20">
        <v>6</v>
      </c>
      <c r="Q10" s="20">
        <v>14</v>
      </c>
      <c r="R10" s="22">
        <v>41</v>
      </c>
      <c r="S10" s="23">
        <v>19.2</v>
      </c>
      <c r="T10" s="15">
        <v>55</v>
      </c>
      <c r="U10" s="23">
        <v>60.1</v>
      </c>
      <c r="V10" s="24">
        <v>69</v>
      </c>
      <c r="W10" s="23">
        <v>20.2</v>
      </c>
    </row>
    <row r="11" ht="15.75" spans="1:23">
      <c r="A11" s="21" t="s">
        <v>41</v>
      </c>
      <c r="B11" s="20">
        <v>25</v>
      </c>
      <c r="C11" s="20">
        <v>13</v>
      </c>
      <c r="D11" s="20">
        <v>11</v>
      </c>
      <c r="E11" s="20">
        <v>1</v>
      </c>
      <c r="F11" s="20">
        <v>15</v>
      </c>
      <c r="G11" s="20">
        <v>8</v>
      </c>
      <c r="H11" s="20">
        <v>2</v>
      </c>
      <c r="I11" s="20">
        <v>9</v>
      </c>
      <c r="J11" s="20">
        <v>14</v>
      </c>
      <c r="K11" s="20">
        <v>2</v>
      </c>
      <c r="L11" s="20">
        <v>8</v>
      </c>
      <c r="M11" s="20">
        <v>12</v>
      </c>
      <c r="N11" s="20">
        <v>5</v>
      </c>
      <c r="O11" s="20">
        <v>11</v>
      </c>
      <c r="P11" s="20">
        <v>12</v>
      </c>
      <c r="Q11" s="20">
        <v>2</v>
      </c>
      <c r="R11" s="22">
        <v>56</v>
      </c>
      <c r="S11" s="23">
        <v>18.7</v>
      </c>
      <c r="T11" s="15">
        <v>49</v>
      </c>
      <c r="U11" s="23">
        <v>68.2</v>
      </c>
      <c r="V11" s="24">
        <v>13</v>
      </c>
      <c r="W11" s="23">
        <v>13.1</v>
      </c>
    </row>
    <row r="12" ht="15.75" spans="1:23">
      <c r="A12" s="21" t="s">
        <v>42</v>
      </c>
      <c r="B12" s="20">
        <v>25</v>
      </c>
      <c r="C12" s="25">
        <v>11</v>
      </c>
      <c r="D12" s="25">
        <v>13</v>
      </c>
      <c r="E12" s="25">
        <v>1</v>
      </c>
      <c r="F12" s="25">
        <v>12</v>
      </c>
      <c r="G12" s="25">
        <v>12</v>
      </c>
      <c r="H12" s="25">
        <v>1</v>
      </c>
      <c r="I12" s="25">
        <v>8</v>
      </c>
      <c r="J12" s="25">
        <v>13</v>
      </c>
      <c r="K12" s="25">
        <v>4</v>
      </c>
      <c r="L12" s="25">
        <v>9</v>
      </c>
      <c r="M12" s="25">
        <v>14</v>
      </c>
      <c r="N12" s="25">
        <v>2</v>
      </c>
      <c r="O12" s="25">
        <v>12</v>
      </c>
      <c r="P12" s="25">
        <v>10</v>
      </c>
      <c r="Q12" s="25">
        <v>3</v>
      </c>
      <c r="R12" s="22">
        <v>52</v>
      </c>
      <c r="S12" s="23">
        <v>25.4</v>
      </c>
      <c r="T12" s="15">
        <v>26</v>
      </c>
      <c r="U12" s="23">
        <v>61.4</v>
      </c>
      <c r="V12" s="24">
        <v>9</v>
      </c>
      <c r="W12" s="23">
        <v>13.2</v>
      </c>
    </row>
    <row r="13" ht="15.75" spans="1:23">
      <c r="A13" s="26" t="s">
        <v>40</v>
      </c>
      <c r="B13" s="26">
        <v>25</v>
      </c>
      <c r="C13" s="26">
        <v>11</v>
      </c>
      <c r="D13" s="26">
        <v>13</v>
      </c>
      <c r="E13" s="26">
        <v>1</v>
      </c>
      <c r="F13" s="26">
        <v>12</v>
      </c>
      <c r="G13" s="26">
        <v>12</v>
      </c>
      <c r="H13" s="26">
        <v>1</v>
      </c>
      <c r="I13" s="26">
        <v>8</v>
      </c>
      <c r="J13" s="26">
        <v>13</v>
      </c>
      <c r="K13" s="26">
        <v>4</v>
      </c>
      <c r="L13" s="26">
        <v>9</v>
      </c>
      <c r="M13" s="26">
        <v>14</v>
      </c>
      <c r="N13" s="26">
        <v>2</v>
      </c>
      <c r="O13" s="26">
        <v>12</v>
      </c>
      <c r="P13" s="26">
        <v>10</v>
      </c>
      <c r="Q13" s="26">
        <v>3</v>
      </c>
      <c r="R13" s="22">
        <v>52</v>
      </c>
      <c r="S13" s="23">
        <v>25.4</v>
      </c>
      <c r="T13" s="15">
        <v>26</v>
      </c>
      <c r="U13" s="23">
        <v>61.4</v>
      </c>
      <c r="V13" s="24">
        <v>9</v>
      </c>
      <c r="W13" s="23">
        <v>13.2</v>
      </c>
    </row>
    <row r="14" ht="17.25" customHeight="1" spans="1:23">
      <c r="A14" s="26" t="s">
        <v>25</v>
      </c>
      <c r="B14" s="27">
        <v>120</v>
      </c>
      <c r="C14" s="28">
        <f>C13*100/B13</f>
        <v>44</v>
      </c>
      <c r="D14" s="28">
        <v>42</v>
      </c>
      <c r="E14" s="28">
        <v>34</v>
      </c>
      <c r="F14" s="28">
        <v>64</v>
      </c>
      <c r="G14" s="28">
        <v>72</v>
      </c>
      <c r="H14" s="28">
        <v>24</v>
      </c>
      <c r="I14" s="28">
        <v>33</v>
      </c>
      <c r="J14" s="28">
        <v>49</v>
      </c>
      <c r="K14" s="28">
        <v>38</v>
      </c>
      <c r="L14" s="28">
        <f>L13*100/B13</f>
        <v>36</v>
      </c>
      <c r="M14" s="28">
        <v>49</v>
      </c>
      <c r="N14" s="28">
        <v>35</v>
      </c>
      <c r="O14" s="28">
        <v>42</v>
      </c>
      <c r="P14" s="28">
        <v>42</v>
      </c>
      <c r="Q14" s="28">
        <v>36</v>
      </c>
      <c r="R14" s="29"/>
      <c r="S14" s="30"/>
      <c r="T14" s="30"/>
      <c r="U14" s="30"/>
      <c r="V14" s="30"/>
      <c r="W14" s="30"/>
    </row>
    <row r="15" ht="15.75" spans="1:23">
      <c r="A15" s="2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ht="15.75" spans="1:2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ht="15.75" spans="1: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ht="15.75" spans="1:17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ht="15.75" spans="1:1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ht="15.75" spans="1:17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ht="15.75" spans="1:17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ht="15.75" spans="1:17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ht="15.75" spans="1:17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ht="15.75" spans="1:17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spans="1:1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ht="15.75" spans="1:17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ht="15.75" spans="1:1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ht="15.75" spans="1:17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ht="15.75" spans="1:17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ht="15.75" spans="1:17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ht="15.75" spans="1:17">
      <c r="A31" s="3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ht="15.75" spans="1:17">
      <c r="A32" s="3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</sheetData>
  <mergeCells count="14">
    <mergeCell ref="N1:O1"/>
    <mergeCell ref="V1:W1"/>
    <mergeCell ref="I2:M2"/>
    <mergeCell ref="B3:G3"/>
    <mergeCell ref="I3:N3"/>
    <mergeCell ref="I4:N4"/>
    <mergeCell ref="C7:E7"/>
    <mergeCell ref="F7:H7"/>
    <mergeCell ref="I7:K7"/>
    <mergeCell ref="L7:N7"/>
    <mergeCell ref="O7:Q7"/>
    <mergeCell ref="R7:W7"/>
    <mergeCell ref="A7:A8"/>
    <mergeCell ref="B7:B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кіші топ</vt:lpstr>
      <vt:lpstr>ортаңғы топ</vt:lpstr>
      <vt:lpstr>ересек топ</vt:lpstr>
      <vt:lpstr>мектепалды тобы</vt:lpstr>
      <vt:lpstr>МДҰ әдіскерінің жинағы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2026-10-01T09:00:19Z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25129C93C2F24183BECC067BC527CE70_12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